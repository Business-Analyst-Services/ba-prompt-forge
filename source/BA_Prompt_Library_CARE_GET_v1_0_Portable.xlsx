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erce\Downloads\"/>
    </mc:Choice>
  </mc:AlternateContent>
  <xr:revisionPtr revIDLastSave="0" documentId="13_ncr:1_{005EF240-4ADB-407C-B7AC-0C8D480002F6}" xr6:coauthVersionLast="47" xr6:coauthVersionMax="47" xr10:uidLastSave="{00000000-0000-0000-0000-000000000000}"/>
  <bookViews>
    <workbookView xWindow="-108" yWindow="-108" windowWidth="23256" windowHeight="12456" tabRatio="500" activeTab="1" xr2:uid="{00000000-000D-0000-FFFF-FFFF00000000}"/>
  </bookViews>
  <sheets>
    <sheet name="How to Use" sheetId="1" r:id="rId1"/>
    <sheet name="Prompt Library" sheetId="2" r:id="rId2"/>
    <sheet name="Prompt Scores" sheetId="3" r:id="rId3"/>
    <sheet name="Prompt Quality Scorecard" sheetId="4" r:id="rId4"/>
    <sheet name="Delivery Contexts" sheetId="5" r:id="rId5"/>
  </sheets>
  <definedNames>
    <definedName name="_xlnm._FilterDatabase" localSheetId="1" hidden="1">'Prompt Library'!$A$1:$L$127</definedName>
    <definedName name="_xlnm._FilterDatabase" localSheetId="2" hidden="1">'Prompt Scores'!$A$1:$Q$127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7" i="4" l="1"/>
  <c r="E15" i="4"/>
  <c r="E14" i="4"/>
  <c r="B135" i="3"/>
  <c r="B134" i="3"/>
  <c r="B132" i="3"/>
  <c r="B130" i="3"/>
  <c r="O127" i="3"/>
  <c r="P127" i="3" s="1"/>
  <c r="O126" i="3"/>
  <c r="P126" i="3" s="1"/>
  <c r="O125" i="3"/>
  <c r="P125" i="3" s="1"/>
  <c r="O124" i="3"/>
  <c r="P124" i="3" s="1"/>
  <c r="O123" i="3"/>
  <c r="P123" i="3" s="1"/>
  <c r="O122" i="3"/>
  <c r="P122" i="3" s="1"/>
  <c r="O121" i="3"/>
  <c r="P121" i="3" s="1"/>
  <c r="O120" i="3"/>
  <c r="P120" i="3" s="1"/>
  <c r="P119" i="3"/>
  <c r="O119" i="3"/>
  <c r="O118" i="3"/>
  <c r="P118" i="3" s="1"/>
  <c r="O117" i="3"/>
  <c r="P117" i="3" s="1"/>
  <c r="O116" i="3"/>
  <c r="P116" i="3" s="1"/>
  <c r="O115" i="3"/>
  <c r="P115" i="3" s="1"/>
  <c r="O114" i="3"/>
  <c r="P114" i="3" s="1"/>
  <c r="O113" i="3"/>
  <c r="O112" i="3"/>
  <c r="P112" i="3" s="1"/>
  <c r="O111" i="3"/>
  <c r="P111" i="3" s="1"/>
  <c r="O110" i="3"/>
  <c r="P110" i="3" s="1"/>
  <c r="O109" i="3"/>
  <c r="P109" i="3" s="1"/>
  <c r="O108" i="3"/>
  <c r="P108" i="3" s="1"/>
  <c r="O107" i="3"/>
  <c r="P107" i="3" s="1"/>
  <c r="O106" i="3"/>
  <c r="P106" i="3" s="1"/>
  <c r="O105" i="3"/>
  <c r="P105" i="3" s="1"/>
  <c r="O104" i="3"/>
  <c r="P104" i="3" s="1"/>
  <c r="O103" i="3"/>
  <c r="P103" i="3" s="1"/>
  <c r="O102" i="3"/>
  <c r="P102" i="3" s="1"/>
  <c r="O101" i="3"/>
  <c r="P101" i="3" s="1"/>
  <c r="O100" i="3"/>
  <c r="P100" i="3" s="1"/>
  <c r="P99" i="3"/>
  <c r="O99" i="3"/>
  <c r="O98" i="3"/>
  <c r="P98" i="3" s="1"/>
  <c r="O97" i="3"/>
  <c r="P97" i="3" s="1"/>
  <c r="O96" i="3"/>
  <c r="P96" i="3" s="1"/>
  <c r="O95" i="3"/>
  <c r="P95" i="3" s="1"/>
  <c r="O94" i="3"/>
  <c r="P94" i="3" s="1"/>
  <c r="O93" i="3"/>
  <c r="P93" i="3" s="1"/>
  <c r="O92" i="3"/>
  <c r="P92" i="3" s="1"/>
  <c r="O91" i="3"/>
  <c r="P91" i="3" s="1"/>
  <c r="O90" i="3"/>
  <c r="P90" i="3" s="1"/>
  <c r="O89" i="3"/>
  <c r="P89" i="3" s="1"/>
  <c r="O88" i="3"/>
  <c r="P88" i="3" s="1"/>
  <c r="O87" i="3"/>
  <c r="P87" i="3" s="1"/>
  <c r="O86" i="3"/>
  <c r="P86" i="3" s="1"/>
  <c r="O85" i="3"/>
  <c r="P85" i="3" s="1"/>
  <c r="O84" i="3"/>
  <c r="P84" i="3" s="1"/>
  <c r="O83" i="3"/>
  <c r="P83" i="3" s="1"/>
  <c r="O82" i="3"/>
  <c r="P82" i="3" s="1"/>
  <c r="O81" i="3"/>
  <c r="P81" i="3" s="1"/>
  <c r="O80" i="3"/>
  <c r="P80" i="3" s="1"/>
  <c r="O79" i="3"/>
  <c r="P79" i="3" s="1"/>
  <c r="O78" i="3"/>
  <c r="P78" i="3" s="1"/>
  <c r="O77" i="3"/>
  <c r="P77" i="3" s="1"/>
  <c r="O76" i="3"/>
  <c r="P76" i="3" s="1"/>
  <c r="O75" i="3"/>
  <c r="P75" i="3" s="1"/>
  <c r="O74" i="3"/>
  <c r="P74" i="3" s="1"/>
  <c r="O73" i="3"/>
  <c r="P73" i="3" s="1"/>
  <c r="O72" i="3"/>
  <c r="P72" i="3" s="1"/>
  <c r="O71" i="3"/>
  <c r="P71" i="3" s="1"/>
  <c r="O70" i="3"/>
  <c r="P70" i="3" s="1"/>
  <c r="O69" i="3"/>
  <c r="P69" i="3" s="1"/>
  <c r="O68" i="3"/>
  <c r="P68" i="3" s="1"/>
  <c r="O67" i="3"/>
  <c r="P67" i="3" s="1"/>
  <c r="O66" i="3"/>
  <c r="P66" i="3" s="1"/>
  <c r="O65" i="3"/>
  <c r="P65" i="3" s="1"/>
  <c r="O64" i="3"/>
  <c r="P64" i="3" s="1"/>
  <c r="O63" i="3"/>
  <c r="P63" i="3" s="1"/>
  <c r="O62" i="3"/>
  <c r="P62" i="3" s="1"/>
  <c r="O61" i="3"/>
  <c r="P61" i="3" s="1"/>
  <c r="O60" i="3"/>
  <c r="P60" i="3" s="1"/>
  <c r="O59" i="3"/>
  <c r="P59" i="3" s="1"/>
  <c r="O58" i="3"/>
  <c r="P58" i="3" s="1"/>
  <c r="O57" i="3"/>
  <c r="P57" i="3" s="1"/>
  <c r="O56" i="3"/>
  <c r="P56" i="3" s="1"/>
  <c r="O55" i="3"/>
  <c r="P55" i="3" s="1"/>
  <c r="O54" i="3"/>
  <c r="P54" i="3" s="1"/>
  <c r="O53" i="3"/>
  <c r="P53" i="3" s="1"/>
  <c r="O52" i="3"/>
  <c r="P52" i="3" s="1"/>
  <c r="O51" i="3"/>
  <c r="P51" i="3" s="1"/>
  <c r="O50" i="3"/>
  <c r="P50" i="3" s="1"/>
  <c r="O49" i="3"/>
  <c r="P49" i="3" s="1"/>
  <c r="O48" i="3"/>
  <c r="P48" i="3" s="1"/>
  <c r="O47" i="3"/>
  <c r="P47" i="3" s="1"/>
  <c r="P46" i="3"/>
  <c r="O46" i="3"/>
  <c r="O45" i="3"/>
  <c r="P45" i="3" s="1"/>
  <c r="O44" i="3"/>
  <c r="P44" i="3" s="1"/>
  <c r="O43" i="3"/>
  <c r="P43" i="3" s="1"/>
  <c r="O42" i="3"/>
  <c r="P42" i="3" s="1"/>
  <c r="O41" i="3"/>
  <c r="P41" i="3" s="1"/>
  <c r="O40" i="3"/>
  <c r="P40" i="3" s="1"/>
  <c r="O39" i="3"/>
  <c r="P39" i="3" s="1"/>
  <c r="O38" i="3"/>
  <c r="P3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P8" i="3" s="1"/>
  <c r="O7" i="3"/>
  <c r="P7" i="3" s="1"/>
  <c r="O6" i="3"/>
  <c r="P6" i="3" s="1"/>
  <c r="O5" i="3"/>
  <c r="P5" i="3" s="1"/>
  <c r="O4" i="3"/>
  <c r="P4" i="3" s="1"/>
  <c r="O3" i="3"/>
  <c r="P3" i="3" s="1"/>
  <c r="O2" i="3"/>
  <c r="P2" i="3" s="1"/>
  <c r="C26" i="1"/>
  <c r="C25" i="1"/>
  <c r="C24" i="1"/>
  <c r="C23" i="1"/>
  <c r="P113" i="3" l="1"/>
  <c r="B131" i="3"/>
  <c r="C27" i="1"/>
  <c r="B133" i="3"/>
</calcChain>
</file>

<file path=xl/sharedStrings.xml><?xml version="1.0" encoding="utf-8"?>
<sst xmlns="http://schemas.openxmlformats.org/spreadsheetml/2006/main" count="2376" uniqueCount="1249">
  <si>
    <t>BA Services – AI Prompt Library (CARE + G.E.T.) — v1.0</t>
  </si>
  <si>
    <t>Portable edition • 126 prompts across 42 L3 BA services and 6 roles • Organisation-neutral: no client names, sectors or jurisdiction-specific rules — adapt the worked examples to your own domain</t>
  </si>
  <si>
    <t>What's in this workbook</t>
  </si>
  <si>
    <t>Prompt Library</t>
  </si>
  <si>
    <t>One Master prompt per L3 BA service plus Deliverable prompts for key deliverables — 126 prompts across Business BA (8 services), Business/Tech BA (9), Technical BA (6), Agile BA (6), Lead BA (6) and Practice Lead (7). Copy the 'Full Prompt (copy-paste)' cell and replace [BRACKETED PLACEHOLDERS].</t>
  </si>
  <si>
    <t>Prompt Scores</t>
  </si>
  <si>
    <t>Every prompt scored against the 10-criterion quality scorecard, with deduction notes and live summary stats.</t>
  </si>
  <si>
    <t>Quality Scorecard</t>
  </si>
  <si>
    <t>The rubric itself (blank, ready to score any new prompt) with bands and the worked example.</t>
  </si>
  <si>
    <t>Delivery Contexts</t>
  </si>
  <si>
    <t>The 11 delivery contexts (system update, agile, transition, procurement, data warehouse, AI agentic, leadership...) mapped to the services and prompt IDs most used in each — start here if you know your project type but not which prompt you need.</t>
  </si>
  <si>
    <t>The CARE framework + G.E.T. validation</t>
  </si>
  <si>
    <t>C – Context</t>
  </si>
  <si>
    <t>Who am I, who is the audience, plus my organisation's constraints and the data-safety rule (de-identified or synthetic inputs only).</t>
  </si>
  <si>
    <t>A – Action</t>
  </si>
  <si>
    <t>One clear task with named inputs, plus 'ask me up to 5 clarifying questions first'.</t>
  </si>
  <si>
    <t>R – Result/Format</t>
  </si>
  <si>
    <t>Exact sections, tables and flags — checkable. Includes the no-invention rule: unverified = [TBC], proposed values = [PROPOSED — VALIDATE].</t>
  </si>
  <si>
    <t>E – Example</t>
  </si>
  <si>
    <t>A concrete sample the AI can imitate — every prompt has a hand-written one.</t>
  </si>
  <si>
    <t>G.E.T.</t>
  </si>
  <si>
    <t>Every prompt ends with Generate → Explain (break down the synthesis logic) → Test (list sources, cross-reference facts, list assumptions).</t>
  </si>
  <si>
    <t>Version history</t>
  </si>
  <si>
    <t>v0.1 → v0.2</t>
  </si>
  <si>
    <t>First pass in CO-STAR (66 prompts, 22 services); reframed to CARE + G.E.T. per training feedback; quality scorecard added; all prompts scored (mean 18.1).</t>
  </si>
  <si>
    <t>v0.2 → v0.3</t>
  </si>
  <si>
    <t>Extended to the 42-service L3 catalogue (+60 prompts for Strategic Advisory, Agile BA, Lead BA, Practice Lead); AI Transformation and Data &amp; Reporting masters enriched; template hardened with in-prompt data-safety and no-invention rules (the two systematic deductions from the v0.2 scoring) — mean score now 19.7.</t>
  </si>
  <si>
    <t>v0.3 → v1.0</t>
  </si>
  <si>
    <t>Portable edition. All organisation-specific content removed: employer identity, sector framing, named legislation and standards replaced with neutral equivalents, and every worked example rewritten in a generic case-management / service-request domain. Scores unchanged — the CARE structure, validation steps and level of concreteness are identical.</t>
  </si>
  <si>
    <t>Library statistics (live formulas)</t>
  </si>
  <si>
    <t>Total prompts</t>
  </si>
  <si>
    <t>Master prompts</t>
  </si>
  <si>
    <t>Deliverable prompts</t>
  </si>
  <si>
    <t>Services covered</t>
  </si>
  <si>
    <t>Average quality score</t>
  </si>
  <si>
    <t>Adapting this library</t>
  </si>
  <si>
    <t>Two edits make the library organisation-specific again: (1) add your organisation and sector to the [PROJECT NAME AND ONE-LINE DESCRIPTION] placeholder or extend the # CONTEXT block; (2) replace the worked example in each # EXAMPLE block with one from your own domain — the example is what most shapes output quality. Name your privacy, security and residency obligations explicitly where the prompts refer to them generically.</t>
  </si>
  <si>
    <t>ID</t>
  </si>
  <si>
    <t>Role</t>
  </si>
  <si>
    <t>BA Service</t>
  </si>
  <si>
    <t>Prompt Name</t>
  </si>
  <si>
    <t>Type</t>
  </si>
  <si>
    <t>Target Deliverable(s)</t>
  </si>
  <si>
    <t>Validation (G.E.T.)</t>
  </si>
  <si>
    <t>Full Prompt (copy-paste)</t>
  </si>
  <si>
    <t>BB-01-M</t>
  </si>
  <si>
    <t>Business BA</t>
  </si>
  <si>
    <t>Benefits Realisation &amp; KPI Management</t>
  </si>
  <si>
    <t>Master – Benefits Realisation &amp; KPI Management</t>
  </si>
  <si>
    <t>Master</t>
  </si>
  <si>
    <t>Benefits Measures; KPI Reports; Value Realisation Assessments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</si>
  <si>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The initiative's stated benefits are: [LIST EXPECTED BENEFITS FROM THE BUSINESS CASE]. Current measurement baseline: [WHAT IS MEASURED TODAY, OR 'UNKNOWN']. The audience for this output: Benefit owners, the project sponsor and the PMO; summaries may be lifted into executive and board reporting.</t>
  </si>
  <si>
    <t>Act as my analysis partner for benefits realisation: define measurable benefits, design the KPIs and measures that evidence them, and assess whether value is actually being delivered, so the organisation can report outcomes credibly and identify optimisation opportunities. Produce, as I request them: (1) a benefits map linking initiative outputs to outcomes to benefits; (2) a KPI definition table (KPI, definition, formula, baseline, target, data source, frequency, owner); (3) a value realisation assessment comparing actuals to targets with root causes and optimisation recommendations.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</si>
  <si>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Every benefit must trace to a measurable KPI with a baseline, target, data source and owner.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</si>
  <si>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KPI row I expect: "KPI: Median case determination time | Definition: calendar days from case lodgement to final decision | Formula: median(decision_date − lodgement_date) | Baseline: 14.2 days (FY25) | Target: 10 days by Jun 2027 | Source: case management system | Frequency: monthly | Owner: Operations Manager".</t>
  </si>
  <si>
    <t>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</si>
  <si>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The initiative's stated benefits are: [LIST EXPECTED BENEFITS FROM THE BUSINESS CASE]. Current measurement baseline: [WHAT IS MEASURED TODAY, OR 'UNKNOWN']. The audience for this output: Benefit owners, the project sponsor and the PMO; summaries may be lifted into executive and board reporting.
# ACTION
Act as my analysis partner for benefits realisation: define measurable benefits, design the KPIs and measures that evidence them, and assess whether value is actually being delivered, so the organisation can report outcomes credibly and identify optimisation opportunities. Produce, as I request them: (1) a benefits map linking initiative outputs to outcomes to benefits; (2) a KPI definition table (KPI, definition, formula, baseline, target, data source, frequency, owner); (3) a value realisation assessment comparing actuals to targets with root causes and optimisation recommendations.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Every benefit must trace to a measurable KPI with a baseline, target, data source and owner.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KPI row I expect: "KPI: Median case determination time | Definition: calendar days from case lodgement to final decision | Formula: median(decision_date − lodgement_date) | Baseline: 14.2 days (FY25) | Target: 10 days by Jun 2027 | Source: case management system | Frequency: monthly | Owner: Operations Manager".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</si>
  <si>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BB-01-D1</t>
  </si>
  <si>
    <t>KPI Definitions &amp; Measures Table</t>
  </si>
  <si>
    <t>Deliverable</t>
  </si>
  <si>
    <t>Benefits Measures; KPI Definitions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</si>
  <si>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Benefits to be measured: [PASTE BENEFITS STATEMENTS OR BUSINESS CASE EXTRACT]. The audience for this output: Benefit owners and the reporting/data team who must build the measures.</t>
  </si>
  <si>
    <t>Turn the listed benefits into a rigorous KPI definition table that reporting teams could implement without further interpretation. Draft the table, then list measurement risks (gaming, lag, data quality) per KPI. Before drafting, ask me up to 5 clarifying questions about anything missing, then wait for my answers.</t>
  </si>
  <si>
    <t>One table, one row per KPI: KPI name; plain-English definition; calculation formula; unit; baseline; target and target date; data source system; collection frequency; accountable owner (role, not name). Flag any KPI that cannot currently be measured.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</si>
  <si>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row: "KPI: Cases resolved within 26 weeks | Definition: % of accepted cases closed within 26 weeks of lodgement | Formula: (cases closed ≤26wks ÷ accepted cases) × 100 | Baseline: [TO BE QUANTIFIED] | Target: +3pp on baseline | Source: case management system | Frequency: quarterly | Owner: Service Delivery Lead".</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</si>
  <si>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Benefits to be measured: [PASTE BENEFITS STATEMENTS OR BUSINESS CASE EXTRACT]. The audience for this output: Benefit owners and the reporting/data team who must build the measures.
# ACTION
Turn the listed benefits into a rigorous KPI definition table that reporting teams could implement without further interpretation. Draft the table, then list measurement risks (gaming, lag, data quality) per KPI. Before drafting, ask me up to 5 clarifying questions about anything missing, then wait for my answers.
# RESULT / FORMAT
One table, one row per KPI: KPI name; plain-English definition; calculation formula; unit; baseline; target and target date; data source system; collection frequency; accountable owner (role, not name). Flag any KPI that cannot currently be measured.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row: "KPI: Cases resolved within 26 weeks | Definition: % of accepted cases closed within 26 weeks of lodgement | Formula: (cases closed ≤26wks ÷ accepted cases) × 100 | Baseline: [TO BE QUANTIFIED] | Target: +3pp on baseline | Source: case management system | Frequency: quarterly | Owner: Service Delivery Lead".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</si>
  <si>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BB-01-D2</t>
  </si>
  <si>
    <t>Value Realisation Assessment</t>
  </si>
  <si>
    <t>Value Realisation Assessments; KPI Reports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</si>
  <si>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Planned benefits and targets: [PASTE]. Actual results to date: [PASTE KPI ACTUALS / EXTRACT]. The audience for this output: Sponsor and steering committee.</t>
  </si>
  <si>
    <t>Assess realised value against plan, explain variances, and recommend optimisation actions. Draft the assessment (max 2 pages equivalent). Where data is insufficient to judge a benefit, say so explicitly rather than inferring success. Before drafting, ask me up to 5 clarifying questions about anything missing, then wait for my answers.</t>
  </si>
  <si>
    <t>Short report: RAG summary table per benefit; variance analysis; root causes distinguished from symptoms; prioritised recommendations with owner and effort estimate.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</si>
  <si>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variance line: "Benefit B2 – Reduced manual rework: AMBER. Target 30% reduction; actual 12%. Root cause: exception queue still routed to legacy team (process, not system). Recommendation: extend auto-routing rules to exception types 3–5; owner: Ops Improvement; effort: low."</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</si>
  <si>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Planned benefits and targets: [PASTE]. Actual results to date: [PASTE KPI ACTUALS / EXTRACT]. The audience for this output: Sponsor and steering committee.
# ACTION
Assess realised value against plan, explain variances, and recommend optimisation actions. Draft the assessment (max 2 pages equivalent). Where data is insufficient to judge a benefit, say so explicitly rather than inferring success. Before drafting, ask me up to 5 clarifying questions about anything missing, then wait for my answers.
# RESULT / FORMAT
Short report: RAG summary table per benefit; variance analysis; root causes distinguished from symptoms; prioritised recommendations with owner and effort estimate.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variance line: "Benefit B2 – Reduced manual rework: AMBER. Target 30% reduction; actual 12%. Root cause: exception queue still routed to legacy team (process, not system). Recommendation: extend auto-routing rules to exception types 3–5; owner: Ops Improvement; effort: low."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</si>
  <si>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BB-02-M</t>
  </si>
  <si>
    <t>Business Needs Assessments (Initial and High Level Requirements)</t>
  </si>
  <si>
    <t>Master – Business Needs Assessment</t>
  </si>
  <si>
    <t>Discovery Notes; Workshop Outputs; Business Needs Statements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</si>
  <si>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Discovery stage: [NEW INITIATIVE / EXISTING PROBLEM]. What we know so far: [PASTE ANY BRIEFS, EMAILS OR NOTES]. The audience for this output: Business stakeholders and SMEs contributing needs; outputs feed the project brief and requirements backlog.</t>
  </si>
  <si>
    <t>Support end-to-end elicitation of business needs and high-level requirements: plan discovery sessions, generate strong questions, convert raw notes into structured needs statements, and expose conflicts and gaps between stakeholders. Support these modes on request: (1) workshop/interview plan with 8-12 questions sequenced broad-to-specific including conflict-testing questions; (2) structure raw notes into business needs statements ('The business needs the ability to [capability] so that [outcome]'); (3) simulate a named stakeholder so I can practise elicitation, then critique which questions I missed.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</si>
  <si>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Distinguish clearly between (a) explicit stakeholder statements, (b) implied needs, and (c) items needing clarification, with source attribution.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</si>
  <si>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needs statement I expect: "The business needs the ability to see all open actions for a customer across cases and enquiries in one view, so that staff do not request information the customer has already provided."</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</si>
  <si>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Discovery stage: [NEW INITIATIVE / EXISTING PROBLEM]. What we know so far: [PASTE ANY BRIEFS, EMAILS OR NOTES]. The audience for this output: Business stakeholders and SMEs contributing needs; outputs feed the project brief and requirements backlog.
# ACTION
Support end-to-end elicitation of business needs and high-level requirements: plan discovery sessions, generate strong questions, convert raw notes into structured needs statements, and expose conflicts and gaps between stakeholders. Support these modes on request: (1) workshop/interview plan with 8-12 questions sequenced broad-to-specific including conflict-testing questions; (2) structure raw notes into business needs statements ('The business needs the ability to [capability] so that [outcome]'); (3) simulate a named stakeholder so I can practise elicitation, then critique which questions I missed.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Distinguish clearly between (a) explicit stakeholder statements, (b) implied needs, and (c) items needing clarification, with source attribution.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needs statement I expect: "The business needs the ability to see all open actions for a customer across cases and enquiries in one view, so that staff do not request information the customer has already provided."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</si>
  <si>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BB-02-D1</t>
  </si>
  <si>
    <t>Discovery Workshop Plan &amp; Question Set</t>
  </si>
  <si>
    <t>Workshop Outputs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</si>
  <si>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Workshop topic: [TOPIC]. Attendees: [ROLES]. Duration: [LENGTH]. What we already know: [SUMMARY]. The audience for this output: Workshop attendees (agenda) and the facilitating BA (question set and rationale).</t>
  </si>
  <si>
    <t>Design a discovery workshop that elicits business needs efficiently and surfaces disagreement early. Draft agenda + questions, plus a 'facilitation risks' list (dominant voices, scope drift, sensitive topics such as team performance) with mitigations. Before drafting, ask me up to 5 clarifying questions about anything missing, then wait for my answers.</t>
  </si>
  <si>
    <t>Timed agenda table; then the question set grouped by theme, sequenced broad-to-specific, each with the rationale and expected output; include at least two questions designed to expose conflicting stakeholder assumptions.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</si>
  <si>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question with rationale: "'Walk me through the last time this process went wrong — what happened next?' (Rationale: elicits the real exception path and who is affected; expected output: failure modes for the as-is map.)"</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</si>
  <si>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Workshop topic: [TOPIC]. Attendees: [ROLES]. Duration: [LENGTH]. What we already know: [SUMMARY]. The audience for this output: Workshop attendees (agenda) and the facilitating BA (question set and rationale).
# ACTION
Design a discovery workshop that elicits business needs efficiently and surfaces disagreement early. Draft agenda + questions, plus a 'facilitation risks' list (dominant voices, scope drift, sensitive topics such as team performance) with mitigations. Before drafting, ask me up to 5 clarifying questions about anything missing, then wait for my answers.
# RESULT / FORMAT
Timed agenda table; then the question set grouped by theme, sequenced broad-to-specific, each with the rationale and expected output; include at least two questions designed to expose conflicting stakeholder assumptions.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question with rationale: "'Walk me through the last time this process went wrong — what happened next?' (Rationale: elicits the real exception path and who is affected; expected output: failure modes for the as-is map.)"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</si>
  <si>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BB-02-D2</t>
  </si>
  <si>
    <t>Raw Notes → Business Needs Statements</t>
  </si>
  <si>
    <t>Business Needs Statements; Discovery Notes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</si>
  <si>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Raw material: [PASTE MEETING NOTES / TRANSCRIPT / EMAIL THREADS]. The audience for this output: Stakeholders who will validate the needs; the delivery team consuming them downstream.</t>
  </si>
  <si>
    <t>Convert the raw notes into clean, attributed business needs statements ready for validation. Draft the table. Do not invent needs that lack support in the notes — flag gaps instead. Before drafting, ask me up to 5 clarifying questions about anything missing, then wait for my answers.</t>
  </si>
  <si>
    <t>Table: ID; needs statement ('The business needs the ability to X so that Y'); type (explicit / implied / needs clarification); source (who said it / which note); suggested validation question. Separate section for decisions, actions and parking-lot items.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</si>
  <si>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row: "BN-04 | The business needs the ability to lodge service requests from a mobile device so that requests arrive within agreed timeframes | Type: explicit | Source: J. Chen, field ops workshop 12/7 | Validation question: does this extend to third parties without a registered account?"</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</si>
  <si>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Raw material: [PASTE MEETING NOTES / TRANSCRIPT / EMAIL THREADS]. The audience for this output: Stakeholders who will validate the needs; the delivery team consuming them downstream.
# ACTION
Convert the raw notes into clean, attributed business needs statements ready for validation. Draft the table. Do not invent needs that lack support in the notes — flag gaps instead. Before drafting, ask me up to 5 clarifying questions about anything missing, then wait for my answers.
# RESULT / FORMAT
Table: ID; needs statement ('The business needs the ability to X so that Y'); type (explicit / implied / needs clarification); source (who said it / which note); suggested validation question. Separate section for decisions, actions and parking-lot items.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row: "BN-04 | The business needs the ability to lodge service requests from a mobile device so that requests arrive within agreed timeframes | Type: explicit | Source: J. Chen, field ops workshop 12/7 | Validation question: does this extend to third parties without a registered account?"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</si>
  <si>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BB-03-M</t>
  </si>
  <si>
    <t>Business Project Discovery &amp; Problem Definition</t>
  </si>
  <si>
    <t>Master – Discovery &amp; Problem Definition</t>
  </si>
  <si>
    <t>Problem Statements; Opportunity Assessments; Business Needs Statements; Business Case Inputs; Strategic Alignment Assessments; Risk Assessment Support</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</si>
  <si>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Trigger for this work: [WHAT PROMPTED IT — incident, audit, strategy, pain point]. Known symptoms: [LIST]. Relevant organisational strategic objectives: [PASTE, OR 'NONE SUPPLIED']. The audience for this output: Sponsor, business case authors and investment governance forums.</t>
  </si>
  <si>
    <t>Help me define the real problem and the case for change: separate symptoms from root causes, quantify impact, frame the opportunity, test strategic alignment, and draft business case inputs and initial risk assessments. Produce on request: (1) a problem statement (situation, impact, magnitude, consequence of inaction); (2) an opportunity assessment with options at a high level; (3) strategic alignment assessment against the organisation's objectives; (4) an initial risk list (risk, cause, consequence, likelihood, impact, mitigation).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</si>
  <si>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Use the 5 Whys or fishbone technique for causes; every impact claim needs a number or an explicit '[TO BE QUANTIFIED]' flag.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</si>
  <si>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problem statement shape: "Customers submitting service requests by phone experience double handling: 40% of requests [TO BE QUANTIFIED] are re-keyed, adding ~3 days delay and creating transcription errors that flow into triage. If unaddressed, timeframe breaches will continue at roughly [X]/quarter."</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</si>
  <si>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Trigger for this work: [WHAT PROMPTED IT — incident, audit, strategy, pain point]. Known symptoms: [LIST]. Relevant organisational strategic objectives: [PASTE, OR 'NONE SUPPLIED']. The audience for this output: Sponsor, business case authors and investment governance forums.
# ACTION
Help me define the real problem and the case for change: separate symptoms from root causes, quantify impact, frame the opportunity, test strategic alignment, and draft business case inputs and initial risk assessments. Produce on request: (1) a problem statement (situation, impact, magnitude, consequence of inaction); (2) an opportunity assessment with options at a high level; (3) strategic alignment assessment against the organisation's objectives; (4) an initial risk list (risk, cause, consequence, likelihood, impact, mitigation).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Use the 5 Whys or fishbone technique for causes; every impact claim needs a number or an explicit '[TO BE QUANTIFIED]' flag.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problem statement shape: "Customers submitting service requests by phone experience double handling: 40% of requests [TO BE QUANTIFIED] are re-keyed, adding ~3 days delay and creating transcription errors that flow into triage. If unaddressed, timeframe breaches will continue at roughly [X]/quarter."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</si>
  <si>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BB-03-D1</t>
  </si>
  <si>
    <t>Problem Statement &amp; Opportunity Assessment</t>
  </si>
  <si>
    <t>Problem Statements; Opportunity Assessments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</si>
  <si>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Symptoms and evidence gathered so far: [PASTE NOTES, DATA POINTS, COMPLAINTS, AUDIT FINDINGS]. The audience for this output: Sponsor and investment governance.</t>
  </si>
  <si>
    <t>Produce a sharp problem statement and opportunity assessment that would survive challenge at an investment committee. Apply 5 Whys to my symptoms first and show the chain, then draft both artefacts. Mark every unquantified impact '[TO BE QUANTIFIED]'. Before drafting, ask me up to 5 clarifying questions about anything missing, then wait for my answers.</t>
  </si>
  <si>
    <t>Problem statement in the format: current situation → who is affected and how often → measurable impact → consequence of doing nothing. Opportunity assessment: 3-4 response options (including 'do nothing') with indicative benefit, cost magnitude, and key risks each.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</si>
  <si>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option line: "Option 2 – Guided digital request form with save-and-resume: addresses re-keying at source; indicative benefit: removes ~80% of manual transcription; cost magnitude: medium (existing portal platform); key risk: digital exclusion of smaller customers — mitigation: retain assisted phone channel."</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</si>
  <si>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Symptoms and evidence gathered so far: [PASTE NOTES, DATA POINTS, COMPLAINTS, AUDIT FINDINGS]. The audience for this output: Sponsor and investment governance.
# ACTION
Produce a sharp problem statement and opportunity assessment that would survive challenge at an investment committee. Apply 5 Whys to my symptoms first and show the chain, then draft both artefacts. Mark every unquantified impact '[TO BE QUANTIFIED]'. Before drafting, ask me up to 5 clarifying questions about anything missing, then wait for my answers.
# RESULT / FORMAT
Problem statement in the format: current situation → who is affected and how often → measurable impact → consequence of doing nothing. Opportunity assessment: 3-4 response options (including 'do nothing') with indicative benefit, cost magnitude, and key risks each.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option line: "Option 2 – Guided digital request form with save-and-resume: addresses re-keying at source; indicative benefit: removes ~80% of manual transcription; cost magnitude: medium (existing portal platform); key risk: digital exclusion of smaller customers — mitigation: retain assisted phone channel."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</si>
  <si>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BB-03-D2</t>
  </si>
  <si>
    <t>Business Case Inputs &amp; Strategic Alignment</t>
  </si>
  <si>
    <t>Business Case Inputs; Strategic Alignment Assessments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</si>
  <si>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Problem statement: [PASTE]. Preferred option(s): [PASTE]. Organisational strategic objectives: [PASTE]. The audience for this output: Business case author and finance reviewers.</t>
  </si>
  <si>
    <t>Draft the BA-owned inputs to the business case: benefits, costs categories, alignment narrative and assumptions. Draft the inputs. Never fabricate dollar figures — provide the structure and mark '[FINANCE TO ESTIMATE]'. Before drafting, ask me up to 5 clarifying questions about anything missing, then wait for my answers.</t>
  </si>
  <si>
    <t>Sections: benefits table (benefit, type: financial/non-financial, measure, timing); cost categories to be estimated (not invented figures); strategic alignment matrix (objective vs contribution with evidence); assumptions and constraints log.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</si>
  <si>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alignment row: "Objective: 'Better client experience' | Contribution: removes duplicate data requests to customers during case handling | Evidence: complaint theme #2 in FY25 voice-of-customer report [PASTE REF] | Strength: direct".</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</si>
  <si>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Problem statement: [PASTE]. Preferred option(s): [PASTE]. Organisational strategic objectives: [PASTE]. The audience for this output: Business case author and finance reviewers.
# ACTION
Draft the BA-owned inputs to the business case: benefits, costs categories, alignment narrative and assumptions. Draft the inputs. Never fabricate dollar figures — provide the structure and mark '[FINANCE TO ESTIMATE]'. Before drafting, ask me up to 5 clarifying questions about anything missing, then wait for my answers.
# RESULT / FORMAT
Sections: benefits table (benefit, type: financial/non-financial, measure, timing); cost categories to be estimated (not invented figures); strategic alignment matrix (objective vs contribution with evidence); assumptions and constraints log.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alignment row: "Objective: 'Better client experience' | Contribution: removes duplicate data requests to customers during case handling | Evidence: complaint theme #2 in FY25 voice-of-customer report [PASTE REF] | Strength: direct".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</si>
  <si>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BB-04-M</t>
  </si>
  <si>
    <t>Data &amp; Reporting Analysis</t>
  </si>
  <si>
    <t>Master – Data &amp; Reporting Analysis</t>
  </si>
  <si>
    <t>Data Requirements; Data Mapping; Reporting Requirements; KPI Definitions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</si>
  <si>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Business area and decisions the data must support: [DESCRIBE]. Known source systems: [LIST, e.g. core case management system, billing system, request intake channel, data warehouse]. The audience for this output: Business data owners, reporting teams and the data engineering team.</t>
  </si>
  <si>
    <t>Define the business data, information and reporting requirements for this initiative: what data is needed, what it means, where it comes from, and what reports and KPIs it must feed. Produce on request: (1) data requirements catalogue (entity, element, business definition, classification incl. personal/health info, quality expectation); (2) source-to-target data mapping tables; (3) reporting requirements (report, purpose, audience, KPIs, dimensions, frequency, access restrictions); (4) KPI definitions; (5) for data warehouse / BI work: a business question catalogue (what/why/how/when/who per question), MECE validation of question themes, business logic and refresh-frequency definitions, and BI technical specification structure (sources, joins, logic — flagged for peer review via validation queries).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</si>
  <si>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Business language first; add technical detail (types, validation) only after meaning is agreed. Where the data includes personal or otherwise sensitive information, flag the classification per element.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</si>
  <si>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element row: "Entity: Request | Element: request_severity | Definition: initial severity band assigned at lodgement (1–4) per triage matrix | Classification: internal | Quality expectation: mandatory at creation, single value, revalidated at assessment".</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</si>
  <si>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Business area and decisions the data must support: [DESCRIBE]. Known source systems: [LIST, e.g. core case management system, billing system, request intake channel, data warehouse]. The audience for this output: Business data owners, reporting teams and the data engineering team.
# ACTION
Define the business data, information and reporting requirements for this initiative: what data is needed, what it means, where it comes from, and what reports and KPIs it must feed. Produce on request: (1) data requirements catalogue (entity, element, business definition, classification incl. personal/health info, quality expectation); (2) source-to-target data mapping tables; (3) reporting requirements (report, purpose, audience, KPIs, dimensions, frequency, access restrictions); (4) KPI definitions; (5) for data warehouse / BI work: a business question catalogue (what/why/how/when/who per question), MECE validation of question themes, business logic and refresh-frequency definitions, and BI technical specification structure (sources, joins, logic — flagged for peer review via validation queries).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Business language first; add technical detail (types, validation) only after meaning is agreed. Where the data includes personal or otherwise sensitive information, flag the classification per element.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element row: "Entity: Request | Element: request_severity | Definition: initial severity band assigned at lodgement (1–4) per triage matrix | Classification: internal | Quality expectation: mandatory at creation, single value, revalidated at assessment".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</si>
  <si>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BB-04-D1</t>
  </si>
  <si>
    <t>Data Requirements &amp; Dictionary</t>
  </si>
  <si>
    <t>Data Requirements; Data Mapping</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</si>
  <si>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Fields/entities in scope: [PASTE FIELD LIST, FORM, OR API EXTRACT]. Purpose of the data: [DESCRIBE]. The audience for this output: Data owners for validation; engineers for implementation.</t>
  </si>
  <si>
    <t>Produce a business data dictionary and requirements table for the fields in scope. Draft the dictionary, then list the top data-quality and privacy risks (e.g. health information exposure in reporting) with mitigations. Before drafting, ask me up to 5 clarifying questions about anything missing, then wait for my answers.</t>
  </si>
  <si>
    <t>Table: field name (standardised snake_case suggestion); business definition; data type; allowable values; validation rules; example value; data classification (public / internal / personal / health information); source system; quality rule. Flag ambiguous fields rather than guessing definitions.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</si>
  <si>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dictionary row: "Field: date_of_event | Definition: date the reported event occurred, as advised | Type: date (not future-dated) | Allowable: ≤ today | Validation: must be ≤ case lodgement date | Example: 2026-05-14 | Classification: personal | Source: request form Q3 | Quality rule: reject future dates at entry".</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</si>
  <si>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Fields/entities in scope: [PASTE FIELD LIST, FORM, OR API EXTRACT]. Purpose of the data: [DESCRIBE]. The audience for this output: Data owners for validation; engineers for implementation.
# ACTION
Produce a business data dictionary and requirements table for the fields in scope. Draft the dictionary, then list the top data-quality and privacy risks (e.g. health information exposure in reporting) with mitigations. Before drafting, ask me up to 5 clarifying questions about anything missing, then wait for my answers.
# RESULT / FORMAT
Table: field name (standardised snake_case suggestion); business definition; data type; allowable values; validation rules; example value; data classification (public / internal / personal / health information); source system; quality rule. Flag ambiguous fields rather than guessing definitions.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dictionary row: "Field: date_of_event | Definition: date the reported event occurred, as advised | Type: date (not future-dated) | Allowable: ≤ today | Validation: must be ≤ case lodgement date | Example: 2026-05-14 | Classification: personal | Source: request form Q3 | Quality rule: reject future dates at entry".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</si>
  <si>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BB-04-D2</t>
  </si>
  <si>
    <t>Reporting Requirements Specification</t>
  </si>
  <si>
    <t>Reporting Requirements; KPI Definitions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</si>
  <si>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Reporting need: [WHO NEEDS TO KNOW WHAT, TO MAKE WHICH DECISION]. Current reports (if any): [DESCRIBE]. The audience for this output: Report consumers for validation; BI/reporting developers for build.</t>
  </si>
  <si>
    <t>Specify the reports and KPIs so a BI developer could build them without re-eliciting. Draft the specification for each report I describe. Challenge me where a report has no clear decision attached to it. Before drafting, ask me up to 5 clarifying questions about anything missing, then wait for my answers.</t>
  </si>
  <si>
    <t>Per report: name; business purpose and decision supported; audience and access restrictions (note privacy constraints on personal and sensitive data); KPIs and measures with formulas; dimensions and filters; frequency and latency; data sources; wireframe description in words.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</si>
  <si>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report spec fragment: "Report: Weekly Case Intake Aging | Purpose: identify cases approaching the decision deadline so team leaders can reprioritise | Audience: case team leaders (no sensitive personal data displayed) | KPIs: count by days-to-deadline band (0–3, 4–7, 8+) | Dimensions: team, channel, case type | Frequency: weekly Monday 8am | Latency: data as at Sunday midnight".</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</si>
  <si>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Reporting need: [WHO NEEDS TO KNOW WHAT, TO MAKE WHICH DECISION]. Current reports (if any): [DESCRIBE]. The audience for this output: Report consumers for validation; BI/reporting developers for build.
# ACTION
Specify the reports and KPIs so a BI developer could build them without re-eliciting. Draft the specification for each report I describe. Challenge me where a report has no clear decision attached to it. Before drafting, ask me up to 5 clarifying questions about anything missing, then wait for my answers.
# RESULT / FORMAT
Per report: name; business purpose and decision supported; audience and access restrictions (note privacy constraints on personal and sensitive data); KPIs and measures with formulas; dimensions and filters; frequency and latency; data sources; wireframe description in words.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report spec fragment: "Report: Weekly Case Intake Aging | Purpose: identify cases approaching the decision deadline so team leaders can reprioritise | Audience: case team leaders (no sensitive personal data displayed) | KPIs: count by days-to-deadline band (0–3, 4–7, 8+) | Dimensions: team, channel, case type | Frequency: weekly Monday 8am | Latency: data as at Sunday midnight".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</si>
  <si>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BB-05-M</t>
  </si>
  <si>
    <t>Defect &amp; Work-around Analysis</t>
  </si>
  <si>
    <t>Master – Defect &amp; Work-around Analysis</t>
  </si>
  <si>
    <t>Defect Analysis; Defect Change Assessment; Requirement Updates; End-state Process Maps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</si>
  <si>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Defect: [DESCRIBE DEFECT, SYSTEM, ERROR BEHAVIOUR]. Current work-around: [DESCRIBE OR 'NONE']. Affected process and users: [DESCRIBE]. The audience for this output: Product owner, support teams and the delivery team fixing the defect.</t>
  </si>
  <si>
    <t>Analyse the defect and its work-around from a business standpoint: impact, root cause hypotheses, options for resolution, and the flow-on changes to existing requirements and processes when a fix lands. Produce on request: (1) defect analysis (symptom, affected process step, business impact, urgency rating with rationale); (2) work-around assessment (steps, cost, risk, sustainability); (3) change assessment for the proposed fix (which requirements and process maps change, regression risk); (4) updated requirement wording and end-state process description.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</si>
  <si>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Separate the technical fault, the business impact, and the work-around cost. Quantify impact where possible (work delayed, rework hours, compliance exposure).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</si>
  <si>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impact framing: "In business terms: invoice recalculations for customers with retrospective account adjustments show the pre-adjustment figure. ~120 customer accounts/month affected; each requires a 20-minute manual correction and one outbound call. Compliance exposure: issuing incorrect invoices breaches [POLICY REF]."</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</si>
  <si>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Defect: [DESCRIBE DEFECT, SYSTEM, ERROR BEHAVIOUR]. Current work-around: [DESCRIBE OR 'NONE']. Affected process and users: [DESCRIBE]. The audience for this output: Product owner, support teams and the delivery team fixing the defect.
# ACTION
Analyse the defect and its work-around from a business standpoint: impact, root cause hypotheses, options for resolution, and the flow-on changes to existing requirements and processes when a fix lands. Produce on request: (1) defect analysis (symptom, affected process step, business impact, urgency rating with rationale); (2) work-around assessment (steps, cost, risk, sustainability); (3) change assessment for the proposed fix (which requirements and process maps change, regression risk); (4) updated requirement wording and end-state process description.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Separate the technical fault, the business impact, and the work-around cost. Quantify impact where possible (work delayed, rework hours, compliance exposure).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impact framing: "In business terms: invoice recalculations for customers with retrospective account adjustments show the pre-adjustment figure. ~120 customer accounts/month affected; each requires a 20-minute manual correction and one outbound call. Compliance exposure: issuing incorrect invoices breaches [POLICY REF]."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</si>
  <si>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BB-05-D1</t>
  </si>
  <si>
    <t>Defect Impact &amp; Urgency Assessment</t>
  </si>
  <si>
    <t>Defect Analysis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</si>
  <si>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Defect details (may be technical): [PASTE DEFECT TICKET / ERROR DESCRIPTION]. Affected business process: [DESCRIBE]. The audience for this output: Product owner and prioritisation forum; business stakeholders affected.</t>
  </si>
  <si>
    <t>Translate the technical defect into a business impact and urgency assessment that supports a prioritisation decision. Draft the assessment. Where impact data is missing, state what evidence would settle it. Before drafting, ask me up to 5 clarifying questions about anything missing, then wait for my answers.</t>
  </si>
  <si>
    <t>One page: what is broken in business terms; who is affected and how often; measurable impact (delay, rework, financial, compliance/regulatory exposure); risk if unresolved for 30/90/180 days; recommended priority with rationale.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</si>
  <si>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urgency line: "Recommended priority: High. Rationale: customer notice accuracy affected (compliance), effort compounds at ~40 hrs/month, and the work-around (manual recalculation in a spreadsheet) introduces its own error risk. Not Critical: no safety impact and a work-around exists."</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</si>
  <si>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Defect details (may be technical): [PASTE DEFECT TICKET / ERROR DESCRIPTION]. Affected business process: [DESCRIBE]. The audience for this output: Product owner and prioritisation forum; business stakeholders affected.
# ACTION
Translate the technical defect into a business impact and urgency assessment that supports a prioritisation decision. Draft the assessment. Where impact data is missing, state what evidence would settle it. Before drafting, ask me up to 5 clarifying questions about anything missing, then wait for my answers.
# RESULT / FORMAT
One page: what is broken in business terms; who is affected and how often; measurable impact (delay, rework, financial, compliance/regulatory exposure); risk if unresolved for 30/90/180 days; recommended priority with rationale.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urgency line: "Recommended priority: High. Rationale: customer notice accuracy affected (compliance), effort compounds at ~40 hrs/month, and the work-around (manual recalculation in a spreadsheet) introduces its own error risk. Not Critical: no safety impact and a work-around exists."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</si>
  <si>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BB-05-D2</t>
  </si>
  <si>
    <t>Fix Change Assessment &amp; Requirement Updates</t>
  </si>
  <si>
    <t>Defect Change Assessment; Requirement Updates; End-state Process Maps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</si>
  <si>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Proposed fix: [DESCRIBE]. Current requirements affected: [PASTE]. Current process: [PASTE OR DESCRIBE]. The audience for this output: Delivery team, testers and the documentation owner.</t>
  </si>
  <si>
    <t>Assess the ripple effect of the fix and draft the updated requirements and end-state process narrative. Draft all three parts, then run a consistency check between the new requirements and the end-state process and flag contradictions. Before drafting, ask me up to 5 clarifying questions about anything missing, then wait for my answers.</t>
  </si>
  <si>
    <t>Impact table (artefact, current state, change required, regression risk); then redrafted requirements with tracked-change style 'was/now' wording; then the end-state process as a numbered step list with roles and decision points, ready for mapping.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</si>
  <si>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was/now requirement: "FR-112 WAS: 'The system shall display the customer's current account balance.' NOW: 'The system shall display the customer's current account balance including any retrospective adjustments applied in the current billing period, and shall show the adjustment date.' (Trigger: defect DF-208 fix.)"</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</si>
  <si>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Proposed fix: [DESCRIBE]. Current requirements affected: [PASTE]. Current process: [PASTE OR DESCRIBE]. The audience for this output: Delivery team, testers and the documentation owner.
# ACTION
Assess the ripple effect of the fix and draft the updated requirements and end-state process narrative. Draft all three parts, then run a consistency check between the new requirements and the end-state process and flag contradictions. Before drafting, ask me up to 5 clarifying questions about anything missing, then wait for my answers.
# RESULT / FORMAT
Impact table (artefact, current state, change required, regression risk); then redrafted requirements with tracked-change style 'was/now' wording; then the end-state process as a numbered step list with roles and decision points, ready for mapping.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was/now requirement: "FR-112 WAS: 'The system shall display the customer's current account balance.' NOW: 'The system shall display the customer's current account balance including any retrospective adjustments applied in the current billing period, and shall show the adjustment date.' (Trigger: defect DF-208 fix.)"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</si>
  <si>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BB-06-M</t>
  </si>
  <si>
    <t>Functional Requirements Analysis &amp; Refinement</t>
  </si>
  <si>
    <t>Master – Functional Requirements Analysis</t>
  </si>
  <si>
    <t>Feature Definition; Functional Requirements; Non-Functional Requirements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</si>
  <si>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High-level business needs in scope: [PASTE BUSINESS NEEDS STATEMENTS]. Solution context: [NEW BUILD / CONFIGURING PRODUCT / ENHANCEMENT — NAME SYSTEM IF KNOWN]. The audience for this output: Business stakeholders (validation), designers and developers (build), testers (verification).</t>
  </si>
  <si>
    <t>Elaborate business needs into well-formed features, functional requirements and non-functional requirements across business and system layers, then quality-review them for ambiguity, testability, completeness and consistency. Produce on request: (1) feature definitions (name, description, business need served, in/out of scope); (2) functional requirements per feature ('The system shall...' with acceptance criteria); (3) NFR set covering performance, availability, security, privacy, accessibility (WCAG 2.2 AA), auditability, usability; (4) a quality review pass flagging vague words, untestable items and gaps with suggested rewrites.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</si>
  <si>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Requirements are atomic, testable, solution-agnostic unless configuring a named product, and uniquely numbered. NFRs use measurable targets, never 'fast' or 'user-friendly'.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</si>
  <si>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pair: "FR-031: The system shall allow a field officer to attach up to 10 photographs to a field observation, each up to 25MB. NFR-P02: 95% of observation submissions over the mobile network shall complete within 5 seconds [PROPOSED — VALIDATE]."</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</si>
  <si>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High-level business needs in scope: [PASTE BUSINESS NEEDS STATEMENTS]. Solution context: [NEW BUILD / CONFIGURING PRODUCT / ENHANCEMENT — NAME SYSTEM IF KNOWN]. The audience for this output: Business stakeholders (validation), designers and developers (build), testers (verification).
# ACTION
Elaborate business needs into well-formed features, functional requirements and non-functional requirements across business and system layers, then quality-review them for ambiguity, testability, completeness and consistency. Produce on request: (1) feature definitions (name, description, business need served, in/out of scope); (2) functional requirements per feature ('The system shall...' with acceptance criteria); (3) NFR set covering performance, availability, security, privacy, accessibility (WCAG 2.2 AA), auditability, usability; (4) a quality review pass flagging vague words, untestable items and gaps with suggested rewrites.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Requirements are atomic, testable, solution-agnostic unless configuring a named product, and uniquely numbered. NFRs use measurable targets, never 'fast' or 'user-friendly'.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pair: "FR-031: The system shall allow a field officer to attach up to 10 photographs to a field observation, each up to 25MB. NFR-P02: 95% of observation submissions over the mobile network shall complete within 5 seconds [PROPOSED — VALIDATE]."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</si>
  <si>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BB-06-D1</t>
  </si>
  <si>
    <t>Feature &amp; Functional Requirements Draft</t>
  </si>
  <si>
    <t>Feature Definition; Functional Requirements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</si>
  <si>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Business needs to elaborate: [PASTE]. Known business rules and policies: [PASTE OR 'NONE PROVIDED']. The audience for this output: Stakeholders for sign-off; delivery team for build.</t>
  </si>
  <si>
    <t>Draft the feature definitions and numbered functional requirements for the pasted needs. Draft features, requirements and business rules. Flag every place you had to assume, as 'ASSUMPTION:' inline. Before drafting, ask me up to 5 clarifying questions about anything missing, then wait for my answers.</t>
  </si>
  <si>
    <t>Per feature: ID, name, description, business need served, out-of-scope notes. Requirements: 'FR-xx: The system shall...' each atomic and testable, with source need referenced. Extract any business rules from my material into a separate categorised table (constraint / computation / derivation / inference).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</si>
  <si>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"FR-014: The system shall prevent submission of a service request unless event date, location and requester contact are provided (source: BN-02). Business rule BR-03 (constraint): a service request cannot be lodged more than 48 hours after the requester becomes aware of a reportable event [AMBIGUOUS — confirm the policy or regulatory basis]."</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</si>
  <si>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Business needs to elaborate: [PASTE]. Known business rules and policies: [PASTE OR 'NONE PROVIDED']. The audience for this output: Stakeholders for sign-off; delivery team for build.
# ACTION
Draft the feature definitions and numbered functional requirements for the pasted needs. Draft features, requirements and business rules. Flag every place you had to assume, as 'ASSUMPTION:' inline. Before drafting, ask me up to 5 clarifying questions about anything missing, then wait for my answers.
# RESULT / FORMAT
Per feature: ID, name, description, business need served, out-of-scope notes. Requirements: 'FR-xx: The system shall...' each atomic and testable, with source need referenced. Extract any business rules from my material into a separate categorised table (constraint / computation / derivation / inference).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"FR-014: The system shall prevent submission of a service request unless event date, location and requester contact are provided (source: BN-02). Business rule BR-03 (constraint): a service request cannot be lodged more than 48 hours after the requester becomes aware of a reportable event [AMBIGUOUS — confirm the policy or regulatory basis]."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</si>
  <si>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BB-06-D2</t>
  </si>
  <si>
    <t>Non-Functional Requirements Elicitation &amp; Draft</t>
  </si>
  <si>
    <t>Non-Functional Requirements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</si>
  <si>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summary: [DESCRIBE]. Users and volumes: [USERS, PEAK LOADS, GROWTH IF KNOWN]. The audience for this output: Business owners (targets), architects and testers (verification).</t>
  </si>
  <si>
    <t>Elicit and draft a measurable NFR set appropriate to a system of this type. Ask me the checklist questions I can answer now, then draft the NFRs from my answers. Do not silently invent targets — every unvalidated number gets the '[PROPOSED — VALIDATE]' flag. Before drafting, ask me up to 5 clarifying questions about anything missing, then wait for my answers.</t>
  </si>
  <si>
    <t>First: a checklist of NFR categories (performance, capacity, availability, recoverability, security, privacy, data residency, accessibility WCAG 2.2 AA, auditability, usability, supportability, compliance) with 2-3 elicitation questions each. Then: drafted NFRs with measurable targets and rationale, marking targets '[PROPOSED — VALIDATE]'.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</si>
  <si>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NFR: "NFR-A01 (Accessibility): All public-facing screens shall conform to WCAG 2.2 AA, verified by audit before go-live. NFR-S03 (Auditability): the system shall record user, timestamp and before/after values for every change to a case decision field, retained for 7 years [PROPOSED — VALIDATE retention with Records]."</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</si>
  <si>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summary: [DESCRIBE]. Users and volumes: [USERS, PEAK LOADS, GROWTH IF KNOWN]. The audience for this output: Business owners (targets), architects and testers (verification).
# ACTION
Elicit and draft a measurable NFR set appropriate to a system of this type. Ask me the checklist questions I can answer now, then draft the NFRs from my answers. Do not silently invent targets — every unvalidated number gets the '[PROPOSED — VALIDATE]' flag. Before drafting, ask me up to 5 clarifying questions about anything missing, then wait for my answers.
# RESULT / FORMAT
First: a checklist of NFR categories (performance, capacity, availability, recoverability, security, privacy, data residency, accessibility WCAG 2.2 AA, auditability, usability, supportability, compliance) with 2-3 elicitation questions each. Then: drafted NFRs with measurable targets and rationale, marking targets '[PROPOSED — VALIDATE]'.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NFR: "NFR-A01 (Accessibility): All public-facing screens shall conform to WCAG 2.2 AA, verified by audit before go-live. NFR-S03 (Auditability): the system shall record user, timestamp and before/after values for every change to a case decision field, retained for 7 years [PROPOSED — VALIDATE retention with Records]."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</si>
  <si>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BB-07-M</t>
  </si>
  <si>
    <t>Process Analysis &amp; Improvement</t>
  </si>
  <si>
    <t>Master – Process Analysis &amp; Improvement</t>
  </si>
  <si>
    <t>As-Is Process Maps; To-Be Process Maps; Gap Analysis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</si>
  <si>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Process in scope: [PROCESS NAME AND PURPOSE]. Who performs it: [ROLES, INCLUDING AGENTS/EXTERNAL PARTIES]. Known pain points: [LIST]. The audience for this output: Process owners and performers (validation), improvement sponsors (decisions), delivery team (implementation).</t>
  </si>
  <si>
    <t>Analyse and improve the business process end-to-end: capture the as-is accurately, diagnose pain points to root cause, design a to-be that resolves them, and produce the gap analysis between the two. Produce on request: (1) as-is process narrative from my description with pain points annotated at the step where they occur; (2) root cause analysis of key pain points; (3) to-be process that addresses each pain point, with the change and its rationale marked per step; (4) gap analysis table (as-is step, to-be step, change type, impact on people/process/technology, transition need).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</si>
  <si>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Process steps numbered with role, trigger, input, action, output and decision points; note handoffs and systems touched. Structure suitable for direct conversion to BPMN swimlanes.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</si>
  <si>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step format: "7. [Case Officer] Reviews the current supporting document in the case management system; if the document has expired → go to step 8 (request an updated document), else → step 9. Pain point: expired documents detected on average 6 days late (PP-3)."</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</si>
  <si>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Process in scope: [PROCESS NAME AND PURPOSE]. Who performs it: [ROLES, INCLUDING AGENTS/EXTERNAL PARTIES]. Known pain points: [LIST]. The audience for this output: Process owners and performers (validation), improvement sponsors (decisions), delivery team (implementation).
# ACTION
Analyse and improve the business process end-to-end: capture the as-is accurately, diagnose pain points to root cause, design a to-be that resolves them, and produce the gap analysis between the two. Produce on request: (1) as-is process narrative from my description with pain points annotated at the step where they occur; (2) root cause analysis of key pain points; (3) to-be process that addresses each pain point, with the change and its rationale marked per step; (4) gap analysis table (as-is step, to-be step, change type, impact on people/process/technology, transition need).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Process steps numbered with role, trigger, input, action, output and decision points; note handoffs and systems touched. Structure suitable for direct conversion to BPMN swimlanes.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step format: "7. [Case Officer] Reviews the current supporting document in the case management system; if the document has expired → go to step 8 (request an updated document), else → step 9. Pain point: expired documents detected on average 6 days late (PP-3)."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</si>
  <si>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BB-07-D1</t>
  </si>
  <si>
    <t>As-Is Process Map (from description)</t>
  </si>
  <si>
    <t>As-Is Process Maps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</si>
  <si>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Process description (verbal/rough): [PASTE INTERVIEW NOTES OR DESCRIPTION]. The audience for this output: Process performers who will validate it step by step.</t>
  </si>
  <si>
    <t>Convert my rough description into a structured as-is process map ready for stakeholder validation. Draft the map. List every step where my description was ambiguous or incomplete as targeted validation questions. Before drafting, ask me up to 5 clarifying questions about anything missing, then wait for my answers.</t>
  </si>
  <si>
    <t>Output: start and end points; numbered steps each with role (swimlane), action, system used, inputs/outputs; decision points as questions with each path; parallel activities noted; handoffs highlighted; pain points and delays annotated where they occur. Then provide the same flow as Mermaid flowchart code with swimlane-style role prefixes.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</si>
  <si>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decision point: "D2: Is the customer registered? If YES → step 5 (link the request to the customer record). If NO → step 5a [Registration Team] creates a provisional customer record (handoff — known delay: 1–2 days, PP-1)."</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</si>
  <si>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Process description (verbal/rough): [PASTE INTERVIEW NOTES OR DESCRIPTION]. The audience for this output: Process performers who will validate it step by step.
# ACTION
Convert my rough description into a structured as-is process map ready for stakeholder validation. Draft the map. List every step where my description was ambiguous or incomplete as targeted validation questions. Before drafting, ask me up to 5 clarifying questions about anything missing, then wait for my answers.
# RESULT / FORMAT
Output: start and end points; numbered steps each with role (swimlane), action, system used, inputs/outputs; decision points as questions with each path; parallel activities noted; handoffs highlighted; pain points and delays annotated where they occur. Then provide the same flow as Mermaid flowchart code with swimlane-style role prefixes.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decision point: "D2: Is the customer registered? If YES → step 5 (link the request to the customer record). If NO → step 5a [Registration Team] creates a provisional customer record (handoff — known delay: 1–2 days, PP-1)."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</si>
  <si>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BB-07-D2</t>
  </si>
  <si>
    <t>To-Be Design &amp; Gap Analysis</t>
  </si>
  <si>
    <t>To-Be Process Maps; Gap Analysis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</si>
  <si>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Validated as-is process: [PASTE]. Pain points to resolve: [LIST]. Constraints: [BUDGET, SYSTEMS THAT CANNOT CHANGE, POLICY/LEGISLATIVE CONSTRAINTS]. The audience for this output: Improvement sponsor (decision) and delivery/change teams (planning).</t>
  </si>
  <si>
    <t>Design the to-be process and quantify the gap from the as-is. Draft to-be and gap analysis. Respect my constraints — do not design changes to systems I flagged as fixed. Before drafting, ask me up to 5 clarifying questions about anything missing, then wait for my answers.</t>
  </si>
  <si>
    <t>To-be in the same numbered format as the as-is, with each change marked '[CHANGED]', '[NEW]' or '[REMOVED]' and mapped to the pain point it resolves. Gap analysis table: as-is step → to-be step; change type; impact on people, process, technology; effort magnitude; transition/change-management need. Close with implementation risks and a phased rollout suggestion.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</si>
  <si>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gap row: "As-is step 7 (manual document expiry check) → To-be step 6 (system flags expiry 14 days ahead) | Change type: automated | Impact: Case Officers stop daily manual checks (~30 min/day); technology: new scheduled job + alert | Transition need: update work instruction WI-114, brief team leaders".</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</si>
  <si>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Validated as-is process: [PASTE]. Pain points to resolve: [LIST]. Constraints: [BUDGET, SYSTEMS THAT CANNOT CHANGE, POLICY/LEGISLATIVE CONSTRAINTS]. The audience for this output: Improvement sponsor (decision) and delivery/change teams (planning).
# ACTION
Design the to-be process and quantify the gap from the as-is. Draft to-be and gap analysis. Respect my constraints — do not design changes to systems I flagged as fixed. Before drafting, ask me up to 5 clarifying questions about anything missing, then wait for my answers.
# RESULT / FORMAT
To-be in the same numbered format as the as-is, with each change marked '[CHANGED]', '[NEW]' or '[REMOVED]' and mapped to the pain point it resolves. Gap analysis table: as-is step → to-be step; change type; impact on people, process, technology; effort magnitude; transition/change-management need. Close with implementation risks and a phased rollout suggestion.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gap row: "As-is step 7 (manual document expiry check) → To-be step 6 (system flags expiry 14 days ahead) | Change type: automated | Impact: Case Officers stop daily manual checks (~30 min/day); technology: new scheduled job + alert | Transition need: update work instruction WI-114, brief team leaders".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</si>
  <si>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BB-08-M</t>
  </si>
  <si>
    <t>Strategic Business Analysis &amp; Advisory</t>
  </si>
  <si>
    <t>Master – Strategic Business Analysis &amp; Advisory</t>
  </si>
  <si>
    <t>Operating Model Analysis; Capability Analysis; Business Architecture; Strategic Alignment Analysis; Hypothesis &amp; Problem Analysis; Decision Support</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</si>
  <si>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Advisory engagement: [WHAT LEADERSHIP HAS ASKED FOR — capability audit, decision support, costing, organisational impact, strategic alignment, business architecture]. Executive audience: [WHO — e.g. deputy CEO, divisional executive, CIO]. Strategic context: [PASTE STRATEGY EXTRACT OR 'NONE SUPPLIED']. The audience for this output: Executives and senior business leaders; secondary: strategy, portfolio and architecture teams.</t>
  </si>
  <si>
    <t>Act as my strategic-analysis partner for executive advisory work: assess internal capability, frame hypotheses and problems, support decisions with options analysis, assess organisational impact and strategic alignment, and develop business architecture views (capability models, value streams, operating model views). Produce on request: (1) capability assessment (capability, current maturity, evidence, gap, uplift priority); (2) hypothesis and problem analysis (hypothesis, evidence for/against, tests to run); (3) decision support paper (question, options, criteria, analysis, recommendation with conditions); (4) organisational impact assessment (people, structure, ways of working, operating model deltas); (5) strategic alignment analysis; (6) business architecture views described in text and Mermaid diagrams (capability model, value stream).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</si>
  <si>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Executive-grade: lead with the answer, one page before appendices; every claim either evidenced or framed as a hypothesis to test; distinguish facts, interpretations and recommendations explicitly.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</si>
  <si>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capability row: "Capability: Customer account enquiry handling | Good: first-contact resolution ≥70% with consistent guidance | Evidence: 42% FCR (contact centre report Q3), guidance spread across 6 intranet pages | Maturity: 2/5 | Gap consequence: repeat contacts, inconsistent advice risk | Uplift: NOW — single knowledge source + call scripting."</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</si>
  <si>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Advisory engagement: [WHAT LEADERSHIP HAS ASKED FOR — capability audit, decision support, costing, organisational impact, strategic alignment, business architecture]. Executive audience: [WHO — e.g. deputy CEO, divisional executive, CIO]. Strategic context: [PASTE STRATEGY EXTRACT OR 'NONE SUPPLIED']. The audience for this output: Executives and senior business leaders; secondary: strategy, portfolio and architecture teams.
# ACTION
Act as my strategic-analysis partner for executive advisory work: assess internal capability, frame hypotheses and problems, support decisions with options analysis, assess organisational impact and strategic alignment, and develop business architecture views (capability models, value streams, operating model views). Produce on request: (1) capability assessment (capability, current maturity, evidence, gap, uplift priority); (2) hypothesis and problem analysis (hypothesis, evidence for/against, tests to run); (3) decision support paper (question, options, criteria, analysis, recommendation with conditions); (4) organisational impact assessment (people, structure, ways of working, operating model deltas); (5) strategic alignment analysis; (6) business architecture views described in text and Mermaid diagrams (capability model, value stream).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Executive-grade: lead with the answer, one page before appendices; every claim either evidenced or framed as a hypothesis to test; distinguish facts, interpretations and recommendations explicitly.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capability row: "Capability: Customer account enquiry handling | Good: first-contact resolution ≥70% with consistent guidance | Evidence: 42% FCR (contact centre report Q3), guidance spread across 6 intranet pages | Maturity: 2/5 | Gap consequence: repeat contacts, inconsistent advice risk | Uplift: NOW — single knowledge source + call scripting."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</si>
  <si>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BB-08-D1</t>
  </si>
  <si>
    <t>Capability Assessment &amp; Audit Report</t>
  </si>
  <si>
    <t>Capability Analysis; Audit Reports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</si>
  <si>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Business area under assessment: [AREA]. Reason for the assessment: [DRIVER — audit, investment case, restructure]. Evidence available: [PASTE INTERVIEWS, METRICS, SURVEY RESULTS, PRIOR REVIEWS]. The audience for this output: Executive sponsor of the assessment; the assessed area's leadership (so findings must be specific and fair).</t>
  </si>
  <si>
    <t>Assess the capability of the business area against what it needs to deliver, and report gaps with uplift priorities. Draft the assessment from my evidence. Where evidence is thin for a rating, rate it 'insufficient evidence' rather than guessing. Before drafting, ask me up to 5 clarifying questions about anything missing, then wait for my answers.</t>
  </si>
  <si>
    <t>Capability map first (level 1-2 capabilities in scope); then per capability: what good looks like; current state evidence; maturity rating (1-5 with anchor definitions); gap and business consequence; uplift priority (now/next/later) with rationale. Executive summary of no more than 200 words up front.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</si>
  <si>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rating anchor: "Maturity 2 – Repeatable: the capability exists and is performed, but depends on individual knowledge; no documented standard, results vary by team. (Rate 'insufficient evidence' if no artefact or metric supports a level.)"</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</si>
  <si>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Business area under assessment: [AREA]. Reason for the assessment: [DRIVER — audit, investment case, restructure]. Evidence available: [PASTE INTERVIEWS, METRICS, SURVEY RESULTS, PRIOR REVIEWS]. The audience for this output: Executive sponsor of the assessment; the assessed area's leadership (so findings must be specific and fair).
# ACTION
Assess the capability of the business area against what it needs to deliver, and report gaps with uplift priorities. Draft the assessment from my evidence. Where evidence is thin for a rating, rate it 'insufficient evidence' rather than guessing. Before drafting, ask me up to 5 clarifying questions about anything missing, then wait for my answers.
# RESULT / FORMAT
Capability map first (level 1-2 capabilities in scope); then per capability: what good looks like; current state evidence; maturity rating (1-5 with anchor definitions); gap and business consequence; uplift priority (now/next/later) with rationale. Executive summary of no more than 200 words up front.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rating anchor: "Maturity 2 – Repeatable: the capability exists and is performed, but depends on individual knowledge; no documented standard, results vary by team. (Rate 'insufficient evidence' if no artefact or metric supports a level.)"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</si>
  <si>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BB-08-D2</t>
  </si>
  <si>
    <t>Decision Support Paper (Options Analysis)</t>
  </si>
  <si>
    <t>Decision Support Papers; Options Assessments; Strategic Cost Analysis inputs</t>
  </si>
  <si>
    <t>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Decision leadership must make: [STATE THE QUESTION]. Options identified so far: [LIST OR 'GENERATE 3-4']. Decision criteria and constraints: [WHAT MATTERS — cost, risk, speed, capability, workforce impact]. Decision forum and date: [FORUM, DATE]. The audience for this output: The decision forum (executives); written so a member who reads only page one can decide.</t>
  </si>
  <si>
    <t>Produce a decision support paper that lets the forum decide in one sitting: clear question, evidenced options, explicit trade-offs, recommendation with conditions. Draft the paper. Include a 'challenge' paragraph: the strongest argument against your own recommendation. Before drafting, ask me up to 5 clarifying questions about anything missing, then wait for my answers.</t>
  </si>
  <si>
    <t>One-page structure: the decision required (one sentence); background (three sentences max); options table (option, what it means, benefit, cost magnitude [FINANCE TO ESTIMATE where unknown], risk, workforce/organisational impact); trade-off narrative; recommendation with conditions and first steps; what happens if no decision is made. Appendix: detailed analysis per option.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</si>
  <si>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options row: "Option C – Consolidate the two intake teams: Benefit: removes duplicate triage (~[TO BE QUANTIFIED] FTE-hours/wk); Cost magnitude: low-medium [FINANCE TO ESTIMATE]; Risk: medium — enterprise agreement consultation required; Org impact: 2 team structures merge, 1 leadership role affected."</t>
  </si>
  <si>
    <t># CONTEXT
I am a business analyst (Business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Decision leadership must make: [STATE THE QUESTION]. Options identified so far: [LIST OR 'GENERATE 3-4']. Decision criteria and constraints: [WHAT MATTERS — cost, risk, speed, capability, workforce impact]. Decision forum and date: [FORUM, DATE]. The audience for this output: The decision forum (executives); written so a member who reads only page one can decide.
# ACTION
Produce a decision support paper that lets the forum decide in one sitting: clear question, evidenced options, explicit trade-offs, recommendation with conditions. Draft the paper. Include a 'challenge' paragraph: the strongest argument against your own recommendation. Before drafting, ask me up to 5 clarifying questions about anything missing, then wait for my answers.
# RESULT / FORMAT
One-page structure: the decision required (one sentence); background (three sentences max); options table (option, what it means, benefit, cost magnitude [FINANCE TO ESTIMATE where unknown], risk, workforce/organisational impact); trade-off narrative; recommendation with conditions and first steps; what happens if no decision is made. Appendix: detailed analysis per option.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options row: "Option C – Consolidate the two intake teams: Benefit: removes duplicate triage (~[TO BE QUANTIFIED] FTE-hours/wk); Cost magnitude: low-medium [FINANCE TO ESTIMATE]; Risk: medium — enterprise agreement consultation required; Org impact: 2 team structures merge, 1 leadership role affected."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</si>
  <si>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BT-01-M</t>
  </si>
  <si>
    <t>Business/Tech BA</t>
  </si>
  <si>
    <t>AI Transformation</t>
  </si>
  <si>
    <t>Master – AI Transformation Analysis</t>
  </si>
  <si>
    <t>AI use case definitions; agent capability models; prompt/intent specifications; input/output definitions; guardrails and controls; evaluation criteria</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</si>
  <si>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AI initiative: [DESCRIBE THE AI OPPORTUNITY OR CANDIDATE USE CASE]. Applicable governance: my organisation's AI assurance framework and its 'when not to use AI' checks, organisational risk appetite, and privacy obligations on personal and sensitive data. Agent type under consideration: [PRODUCTIVITY / ACTION / AUTOMATION / TBD]. Human-in-the-loop expectation: [ALWAYS / FOR HIGH-RISK DECISIONS / TBD]. The audience for this output: Business owners, AI governance forum, and the engineering team building the solution.</t>
  </si>
  <si>
    <t>Shape AI-enabled solutions that are aligned to business objectives and governable: define use cases, agent capabilities, prompt/intent specifications, input/output contracts, guardrails and evaluation criteria. Produce on request: (1) AI use case definition and concept brief (problem, users, value/ROI hypothesis, human-in-the-loop model, risk rating with rationale); (2) AI suitability and assurance assessment against the applicable AI assurance framework, including whether rules-based automation is the simpler answer; (3) agent capability and behaviour model (capability, inputs, outputs, tools/data accessed, trigger conditions, autonomy boundaries, escalation path to human, error handling when a data source is unavailable); (4) model selection requirements (accuracy vs cost vs latency trade-offs, cost per transaction); (5) prompt/intent specifications and grounding/RAG data requirements (knowledge sources, permissions, hallucination controls); (6) guardrails and controls (input filtering, output constraints, monitoring, human review points, consumption/cost controls for runaway tasks); (7) evaluation criteria and sustainability requirements (accuracy, safety, fairness thresholds; model drift testing and RAG refresh cadence; decision gates to refine, retire or scale).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</si>
  <si>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Be explicit about what the AI must never do (e.g. make eligibility or liability decisions unassisted, expose sensitive personal information). Every capability needs an evaluation criterion.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</si>
  <si>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capability row: "Capability: summarise a case correspondence thread | Inputs: de-identified correspondence text | Outputs: 5-bullet chronology + open questions | Tools/data: case correspondence store (read-only) | Escalation: any decision-relevant ambiguity → human case officer; the AI never states an eligibility or liability position."</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</si>
  <si>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AI initiative: [DESCRIBE THE AI OPPORTUNITY OR CANDIDATE USE CASE]. Applicable governance: my organisation's AI assurance framework and its 'when not to use AI' checks, organisational risk appetite, and privacy obligations on personal and sensitive data. Agent type under consideration: [PRODUCTIVITY / ACTION / AUTOMATION / TBD]. Human-in-the-loop expectation: [ALWAYS / FOR HIGH-RISK DECISIONS / TBD]. The audience for this output: Business owners, AI governance forum, and the engineering team building the solution.
# ACTION
Shape AI-enabled solutions that are aligned to business objectives and governable: define use cases, agent capabilities, prompt/intent specifications, input/output contracts, guardrails and evaluation criteria. Produce on request: (1) AI use case definition and concept brief (problem, users, value/ROI hypothesis, human-in-the-loop model, risk rating with rationale); (2) AI suitability and assurance assessment against the applicable AI assurance framework, including whether rules-based automation is the simpler answer; (3) agent capability and behaviour model (capability, inputs, outputs, tools/data accessed, trigger conditions, autonomy boundaries, escalation path to human, error handling when a data source is unavailable); (4) model selection requirements (accuracy vs cost vs latency trade-offs, cost per transaction); (5) prompt/intent specifications and grounding/RAG data requirements (knowledge sources, permissions, hallucination controls); (6) guardrails and controls (input filtering, output constraints, monitoring, human review points, consumption/cost controls for runaway tasks); (7) evaluation criteria and sustainability requirements (accuracy, safety, fairness thresholds; model drift testing and RAG refresh cadence; decision gates to refine, retire or scale).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Be explicit about what the AI must never do (e.g. make eligibility or liability decisions unassisted, expose sensitive personal information). Every capability needs an evaluation criterion.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capability row: "Capability: summarise a case correspondence thread | Inputs: de-identified correspondence text | Outputs: 5-bullet chronology + open questions | Tools/data: case correspondence store (read-only) | Escalation: any decision-relevant ambiguity → human case officer; the AI never states an eligibility or liability position."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</si>
  <si>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BT-01-D1</t>
  </si>
  <si>
    <t>AI Use Case Definition</t>
  </si>
  <si>
    <t>AI use case definitions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</si>
  <si>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Candidate use case: [DESCRIBE — e.g. summarising case correspondence, triaging incoming requests, drafting field reports]. Data involved: [DESCRIBE, FLAG PERSONAL OR SENSITIVE DATA]. The audience for this output: AI governance forum and the business owner.</t>
  </si>
  <si>
    <t>Define the candidate AI use case rigorously enough for a governance forum to assess it. Draft the definition. Challenge the use case where the value hypothesis is weak or a non-AI fix would do. Before drafting, ask me up to 5 clarifying questions about anything missing, then wait for my answers.</t>
  </si>
  <si>
    <t>Sections: problem and current cost; proposed AI capability; users and workflow fit; value hypothesis with measurable success criteria; data used (classification, residency, consent basis); human-in-the-loop model; risk assessment (accuracy, bias, privacy, workforce) with residual risk rating; out-of-scope declarations.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</si>
  <si>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success criterion: "90% of AI-generated summaries rated 'accurate and complete' by case officers on a 50-case sample, with zero instances of fabricated case facts; officer review time per file reduced ≥30% against baseline."</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</si>
  <si>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Candidate use case: [DESCRIBE — e.g. summarising case correspondence, triaging incoming requests, drafting field reports]. Data involved: [DESCRIBE, FLAG PERSONAL OR SENSITIVE DATA]. The audience for this output: AI governance forum and the business owner.
# ACTION
Define the candidate AI use case rigorously enough for a governance forum to assess it. Draft the definition. Challenge the use case where the value hypothesis is weak or a non-AI fix would do. Before drafting, ask me up to 5 clarifying questions about anything missing, then wait for my answers.
# RESULT / FORMAT
Sections: problem and current cost; proposed AI capability; users and workflow fit; value hypothesis with measurable success criteria; data used (classification, residency, consent basis); human-in-the-loop model; risk assessment (accuracy, bias, privacy, workforce) with residual risk rating; out-of-scope declarations.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success criterion: "90% of AI-generated summaries rated 'accurate and complete' by case officers on a 50-case sample, with zero instances of fabricated case facts; officer review time per file reduced ≥30% against baseline."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</si>
  <si>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BT-01-D2</t>
  </si>
  <si>
    <t>AI Guardrails &amp; Evaluation Criteria</t>
  </si>
  <si>
    <t>Guardrails and controls; evaluation criteria</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</si>
  <si>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Approved use case: [PASTE USE CASE DEFINITION]. Risk rating: [LOW/MEDIUM/HIGH]. The audience for this output: Engineering (implementation), risk and governance (assurance).</t>
  </si>
  <si>
    <t>Specify the guardrails, controls and evaluation criteria that make this AI use case safe to operate. Draft both tables scaled to the risk rating. Mark thresholds '[PROPOSED — VALIDATE WITH BUSINESS OWNER]'. Before drafting, ask me up to 5 clarifying questions about anything missing, then wait for my answers.</t>
  </si>
  <si>
    <t>Guardrails table: control; type (input / behavioural / output / monitoring / human review); what it prevents; how implemented; how tested. Evaluation criteria table: dimension (accuracy, groundedness, privacy leakage, fairness, tone); measure; threshold; test method; frequency (pre-release vs ongoing). Include an incident/rollback trigger list.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</si>
  <si>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guardrail row: "Control: output constraint — the assistant must refuse to state or imply an eligibility or liability position | Type: behavioural | Prevents: unauthorised decision-making | Implemented: system prompt rule + output classifier | Tested: red-team set of 40 decision-baiting inputs, 100% refusal required."</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</si>
  <si>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Approved use case: [PASTE USE CASE DEFINITION]. Risk rating: [LOW/MEDIUM/HIGH]. The audience for this output: Engineering (implementation), risk and governance (assurance).
# ACTION
Specify the guardrails, controls and evaluation criteria that make this AI use case safe to operate. Draft both tables scaled to the risk rating. Mark thresholds '[PROPOSED — VALIDATE WITH BUSINESS OWNER]'. Before drafting, ask me up to 5 clarifying questions about anything missing, then wait for my answers.
# RESULT / FORMAT
Guardrails table: control; type (input / behavioural / output / monitoring / human review); what it prevents; how implemented; how tested. Evaluation criteria table: dimension (accuracy, groundedness, privacy leakage, fairness, tone); measure; threshold; test method; frequency (pre-release vs ongoing). Include an incident/rollback trigger list.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guardrail row: "Control: output constraint — the assistant must refuse to state or imply an eligibility or liability position | Type: behavioural | Prevents: unauthorised decision-making | Implemented: system prompt rule + output classifier | Tested: red-team set of 40 decision-baiting inputs, 100% refusal required."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</si>
  <si>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BT-02-M</t>
  </si>
  <si>
    <t>Backlog Management (Agile)</t>
  </si>
  <si>
    <t>Master – Agile Backlog Management</t>
  </si>
  <si>
    <t>Epics; Features; User Stories; Acceptance Criteria</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</si>
  <si>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Delivery context: [TEAM, CADENCE, TOOL e.g. Jira]. Current backlog state: [PASTE OR DESCRIBE]. Definition of Ready: [PASTE OR 'STANDARD']. The audience for this output: Product owner, scrum team and stakeholders reading the backlog.</t>
  </si>
  <si>
    <t>Keep the delivery backlog healthy on cadence: break epics into features and stories, write acceptance criteria, refine and prioritise, and keep items meeting the Definition of Ready. Produce on request: (1) epic → feature → story breakdowns; (2) acceptance criteria for pasted stories; (3) refinement review of pasted backlog items flagging vagueness, missing criteria, oversized stories with suggested splits; (4) MoSCoW or WSJF prioritisation with one-line rationale each. After drafting stories, self-critique for vague criteria and missing edge cases, then fix them.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</si>
  <si>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Stories in 'As a [role], I want [capability], so that [outcome]' with Given/When/Then acceptance criteria — minimum 3 happy-path and 2 edge-case criteria per story. INVEST principles applied.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</si>
  <si>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story: "As a case officer, I want expired supporting documents flagged on my worklist, so that I can request updates before payments are interrupted. AC1 (Given/When/Then): Given a case with a supporting document expiring in ≤14 days, when I open my worklist, then the case shows an 'expiring' badge with days remaining."</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</si>
  <si>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Delivery context: [TEAM, CADENCE, TOOL e.g. Jira]. Current backlog state: [PASTE OR DESCRIBE]. Definition of Ready: [PASTE OR 'STANDARD']. The audience for this output: Product owner, scrum team and stakeholders reading the backlog.
# ACTION
Keep the delivery backlog healthy on cadence: break epics into features and stories, write acceptance criteria, refine and prioritise, and keep items meeting the Definition of Ready. Produce on request: (1) epic → feature → story breakdowns; (2) acceptance criteria for pasted stories; (3) refinement review of pasted backlog items flagging vagueness, missing criteria, oversized stories with suggested splits; (4) MoSCoW or WSJF prioritisation with one-line rationale each. After drafting stories, self-critique for vague criteria and missing edge cases, then fix them.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Stories in 'As a [role], I want [capability], so that [outcome]' with Given/When/Then acceptance criteria — minimum 3 happy-path and 2 edge-case criteria per story. INVEST principles applied.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story: "As a case officer, I want expired supporting documents flagged on my worklist, so that I can request updates before payments are interrupted. AC1 (Given/When/Then): Given a case with a supporting document expiring in ≤14 days, when I open my worklist, then the case shows an 'expiring' badge with days remaining."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</si>
  <si>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BT-02-D1</t>
  </si>
  <si>
    <t>Epic → Stories Breakdown with Acceptance Criteria</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</si>
  <si>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Epic/feature to break down: [PASTE EPIC DESCRIPTION AND ANY REQUIREMENTS]. The audience for this output: Scrum team (build and test) and product owner (prioritisation).</t>
  </si>
  <si>
    <t>Break the epic into sprint-ready user stories with complete acceptance criteria. Draft the breakdown, then review your own stories against INVEST and flag any that fail, with suggested fixes. Before drafting, ask me up to 5 clarifying questions about anything missing, then wait for my answers.</t>
  </si>
  <si>
    <t>Story map first (backbone activities, then stories beneath); each story: ID, title, 'As a / I want / so that', Given/When/Then criteria (3+ happy path, 2+ edge cases), dependencies, open questions. Keep each story independently deliverable and testable.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</si>
  <si>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split suggestion: "Story 'Manage supporting documents' fails INVEST (not small: covers flagging, requesting and recording). Split: S1 flag expiring documents on worklist; S2 generate document request letter; S3 record received document and clear flag."</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</si>
  <si>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Epic/feature to break down: [PASTE EPIC DESCRIPTION AND ANY REQUIREMENTS]. The audience for this output: Scrum team (build and test) and product owner (prioritisation).
# ACTION
Break the epic into sprint-ready user stories with complete acceptance criteria. Draft the breakdown, then review your own stories against INVEST and flag any that fail, with suggested fixes. Before drafting, ask me up to 5 clarifying questions about anything missing, then wait for my answers.
# RESULT / FORMAT
Story map first (backbone activities, then stories beneath); each story: ID, title, 'As a / I want / so that', Given/When/Then criteria (3+ happy path, 2+ edge cases), dependencies, open questions. Keep each story independently deliverable and testable.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split suggestion: "Story 'Manage supporting documents' fails INVEST (not small: covers flagging, requesting and recording). Split: S1 flag expiring documents on worklist; S2 generate document request letter; S3 record received document and clear flag."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</si>
  <si>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BT-02-D2</t>
  </si>
  <si>
    <t>Backlog Refinement &amp; Prioritisation Review</t>
  </si>
  <si>
    <t>Refined backlog; prioritisation</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</si>
  <si>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Backlog extract: [PASTE STORIES/ITEMS]. Constraints: [CAPACITY, DEADLINES, DEPENDENCIES]. Prioritisation lens: [MoSCoW / WSJF / VALUE-EFFORT]. The audience for this output: Product owner and delivery lead.</t>
  </si>
  <si>
    <t>Review the pasted backlog for readiness and produce a defensible prioritisation. Deliver both tables and a short list of themes (recurring quality problems) to fix at the source. Before drafting, ask me up to 5 clarifying questions about anything missing, then wait for my answers.</t>
  </si>
  <si>
    <t>Readiness table: item; issues found (vague, untestable, too large, missing criteria); suggested fix or split. Prioritisation table: item; priority; one-sentence rationale; dependencies; risk if deferred. Flag items that appear to be scope creep against the stated project scope.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</si>
  <si>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review row: "Item J-231: vague — 'improve search'. Issues: no acceptance criteria, outcome unmeasurable. Fix: restate as 'search returns a customer by trading name, legal name or registration number within 2s' + 3 ACs. Priority: Should (supports intake efficiency; not blocking go-live). Deferral risk: continued manual lookups (~10 min/officer/day)."</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</si>
  <si>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Backlog extract: [PASTE STORIES/ITEMS]. Constraints: [CAPACITY, DEADLINES, DEPENDENCIES]. Prioritisation lens: [MoSCoW / WSJF / VALUE-EFFORT]. The audience for this output: Product owner and delivery lead.
# ACTION
Review the pasted backlog for readiness and produce a defensible prioritisation. Deliver both tables and a short list of themes (recurring quality problems) to fix at the source. Before drafting, ask me up to 5 clarifying questions about anything missing, then wait for my answers.
# RESULT / FORMAT
Readiness table: item; issues found (vague, untestable, too large, missing criteria); suggested fix or split. Prioritisation table: item; priority; one-sentence rationale; dependencies; risk if deferred. Flag items that appear to be scope creep against the stated project scope.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review row: "Item J-231: vague — 'improve search'. Issues: no acceptance criteria, outcome unmeasurable. Fix: restate as 'search returns a customer by trading name, legal name or registration number within 2s' + 3 ACs. Priority: Should (supports intake efficiency; not blocking go-live). Deferral risk: continued manual lookups (~10 min/officer/day)."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</si>
  <si>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BT-03-M</t>
  </si>
  <si>
    <t>Commercial, Licencing &amp; Vendor Mgmt</t>
  </si>
  <si>
    <t>Master – Procurement &amp; Vendor Analysis</t>
  </si>
  <si>
    <t>Vendor assessments; product evaluations; licensing analysis; commercial requirements; procurement inputs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</si>
  <si>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Procurement stage: [PRE-MARKET / RFI / RFT / EVALUATION / NEGOTIATION]. Need being procured: [DESCRIBE]. Applicable rules: my organisation's procurement policies and any mandatory external purchasing rules. The audience for this output: Procurement team, evaluation panel, and delegates approving the recommendation.</t>
  </si>
  <si>
    <t>Support vendor selection and commercial decision-making across the procurement lifecycle: approach strategy, RFI/RFT content, market scans, pricing and licensing analysis, evaluation frameworks and recommendation support. Produce on request: (1) procurement approach comparison (RFI vs RFT vs direct, with rationale); (2) RFI/RFT question frameworks mapped to requirements; (3) vendor capability criteria; (4) pricing model and licensing analysis (perpetual vs subscription vs consumption; scaling scenarios); (5) weighted evaluation scoring framework; (6) comparative analysis and recommendation structure.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</si>
  <si>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Maintain probity: evaluation criteria defined before responses are viewed, consistent treatment of vendors, auditable rationale for every score or recommendation.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</si>
  <si>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RFT question: "Describe how your solution keeps all data, including backups and support access, within the contracted jurisdiction. Strong answer: names regions, backup locality, support access controls and any offshore touchpoints with mitigations. Format: max 300 words + completed data-location table. Feeds criterion C4 (data residency, weight 10%)."</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</si>
  <si>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Procurement stage: [PRE-MARKET / RFI / RFT / EVALUATION / NEGOTIATION]. Need being procured: [DESCRIBE]. Applicable rules: my organisation's procurement policies and any mandatory external purchasing rules. The audience for this output: Procurement team, evaluation panel, and delegates approving the recommendation.
# ACTION
Support vendor selection and commercial decision-making across the procurement lifecycle: approach strategy, RFI/RFT content, market scans, pricing and licensing analysis, evaluation frameworks and recommendation support. Produce on request: (1) procurement approach comparison (RFI vs RFT vs direct, with rationale); (2) RFI/RFT question frameworks mapped to requirements; (3) vendor capability criteria; (4) pricing model and licensing analysis (perpetual vs subscription vs consumption; scaling scenarios); (5) weighted evaluation scoring framework; (6) comparative analysis and recommendation structure.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Maintain probity: evaluation criteria defined before responses are viewed, consistent treatment of vendors, auditable rationale for every score or recommendation.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RFT question: "Describe how your solution keeps all data, including backups and support access, within the contracted jurisdiction. Strong answer: names regions, backup locality, support access controls and any offshore touchpoints with mitigations. Format: max 300 words + completed data-location table. Feeds criterion C4 (data residency, weight 10%)."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</si>
  <si>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BT-03-D1</t>
  </si>
  <si>
    <t>RFI/RFT Question Framework</t>
  </si>
  <si>
    <t>RFI document inputs; RFT Part D inputs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</si>
  <si>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Procurement: [RFI OR RFT]. Requirements summary: [PASTE HIGH-LEVEL REQUIREMENTS]. What we need to learn from the market: [LIST]. The audience for this output: Vendors (questions) and the evaluation panel (guidance columns).</t>
  </si>
  <si>
    <t>Draft the vendor-facing question framework that will elicit comparable, evaluable responses. Draft the framework. Flag any question that invites marketing rather than evidence, and tighten it. Before drafting, ask me up to 5 clarifying questions about anything missing, then wait for my answers.</t>
  </si>
  <si>
    <t>Questions grouped by section (company and capability, solution fit, delivery approach, support model, security and data residency, pricing and licensing). Each question: the question text; what a strong answer contains; response format demanded (word limit, table, yes/no plus evidence); link to the evaluation criterion it feeds. Mandatory questions on data residency, information-security standard alignment and subcontractor disclosure.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</si>
  <si>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question row: "Q12: Provide three examples from the last 5 years where you delivered [CAPABILITY] for an organisation of comparable scale, including measurable outcomes and referee contacts. | Strong answer: named clients, quantified outcomes, current referees | Format: table, one row per example | Feeds: C2 vendor capability (15%)."</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</si>
  <si>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Procurement: [RFI OR RFT]. Requirements summary: [PASTE HIGH-LEVEL REQUIREMENTS]. What we need to learn from the market: [LIST]. The audience for this output: Vendors (questions) and the evaluation panel (guidance columns).
# ACTION
Draft the vendor-facing question framework that will elicit comparable, evaluable responses. Draft the framework. Flag any question that invites marketing rather than evidence, and tighten it. Before drafting, ask me up to 5 clarifying questions about anything missing, then wait for my answers.
# RESULT / FORMAT
Questions grouped by section (company and capability, solution fit, delivery approach, support model, security and data residency, pricing and licensing). Each question: the question text; what a strong answer contains; response format demanded (word limit, table, yes/no plus evidence); link to the evaluation criterion it feeds. Mandatory questions on data residency, information-security standard alignment and subcontractor disclosure.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question row: "Q12: Provide three examples from the last 5 years where you delivered [CAPABILITY] for an organisation of comparable scale, including measurable outcomes and referee contacts. | Strong answer: named clients, quantified outcomes, current referees | Format: table, one row per example | Feeds: C2 vendor capability (15%)."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</si>
  <si>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BT-03-D2</t>
  </si>
  <si>
    <t>Vendor Evaluation Scoring Matrix</t>
  </si>
  <si>
    <t>Evaluation scoring and analysis reports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</si>
  <si>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Evaluation scope: [WHAT IS BEING EVALUATED]. Criteria themes agreed: [PASTE OR 'PROPOSE']. Panel: [ROLES]. The audience for this output: Evaluation panel and probity advisor.</t>
  </si>
  <si>
    <t>Build the weighted scoring model and comparative analysis structure for a defensible vendor evaluation. Draft the matrix and template. Sanity-check the weights against my stated priorities and flag mismatches. Before drafting, ask me up to 5 clarifying questions about anything missing, then wait for my answers.</t>
  </si>
  <si>
    <t>Scoring matrix: criterion; weight (sum 100%); scoring scale 0-5 with behavioural anchors per level; evidence source (RFT section, demo, reference check). Then a comparative analysis template: vendor vs criterion with score, weighted score, key strengths/weaknesses, and a trade-off narrative structure (cost vs capability vs risk).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</si>
  <si>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scoring anchor set: "C3 Solution fit (weight 25%). 5 = meets all Must-Have requirements out-of-box with evidence; 3 = meets Must-Haves with configuration, minor gaps with credible roadmap; 1 = material Must-Have gaps or bespoke development required; 0 = fails a Must-Have with no remedy."</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</si>
  <si>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Evaluation scope: [WHAT IS BEING EVALUATED]. Criteria themes agreed: [PASTE OR 'PROPOSE']. Panel: [ROLES]. The audience for this output: Evaluation panel and probity advisor.
# ACTION
Build the weighted scoring model and comparative analysis structure for a defensible vendor evaluation. Draft the matrix and template. Sanity-check the weights against my stated priorities and flag mismatches. Before drafting, ask me up to 5 clarifying questions about anything missing, then wait for my answers.
# RESULT / FORMAT
Scoring matrix: criterion; weight (sum 100%); scoring scale 0-5 with behavioural anchors per level; evidence source (RFT section, demo, reference check). Then a comparative analysis template: vendor vs criterion with score, weighted score, key strengths/weaknesses, and a trade-off narrative structure (cost vs capability vs risk).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scoring anchor set: "C3 Solution fit (weight 25%). 5 = meets all Must-Have requirements out-of-box with evidence; 3 = meets Must-Haves with configuration, minor gaps with credible roadmap; 1 = material Must-Have gaps or bespoke development required; 0 = fails a Must-Have with no remedy."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</si>
  <si>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BT-04-M</t>
  </si>
  <si>
    <t>Operational Readiness &amp; Transition</t>
  </si>
  <si>
    <t>Master – Operational Readiness &amp; Transition</t>
  </si>
  <si>
    <t>Showcases; Dev walkthroughs; Desk checks; System Transition Plan; Operational Readiness support</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</si>
  <si>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going live: [DESCRIBE]. Go-live date: [DATE]. Receiving teams: [BUSINESS TEAMS, SUPPORT TEAMS, AGENTS]. Change context: [WHAT CHANGES FOR WHOM]. The audience for this output: Business readiness leads, support teams, change managers and the go-live decision forum.</t>
  </si>
  <si>
    <t>Elaborate the process and technology transition requirements and support change management so the business and support teams are genuinely ready at go-live. Produce on request: (1) transition requirements (process cutover, data cutover dependencies, access, training, support); (2) showcase/walkthrough session designs with scenarios to demonstrate; (3) desk check scripts for business validation; (4) system transition plan structure (phases, entry/exit criteria, rollback triggers); (5) operational readiness checklist with owner and evidence per item.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</si>
  <si>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Readiness expressed as verifiable criteria ('training completed by X roles', 'support articles published'), not activities.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</si>
  <si>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readiness criterion: "Item: operations team training | Criterion: ≥95% of case officers have completed module CT-3 and passed the scenario assessment | Owner: Business Readiness Lead | Evidence: learning system completion report | Due: go-live minus 10 business days."</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</si>
  <si>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going live: [DESCRIBE]. Go-live date: [DATE]. Receiving teams: [BUSINESS TEAMS, SUPPORT TEAMS, AGENTS]. Change context: [WHAT CHANGES FOR WHOM]. The audience for this output: Business readiness leads, support teams, change managers and the go-live decision forum.
# ACTION
Elaborate the process and technology transition requirements and support change management so the business and support teams are genuinely ready at go-live. Produce on request: (1) transition requirements (process cutover, data cutover dependencies, access, training, support); (2) showcase/walkthrough session designs with scenarios to demonstrate; (3) desk check scripts for business validation; (4) system transition plan structure (phases, entry/exit criteria, rollback triggers); (5) operational readiness checklist with owner and evidence per item.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Readiness expressed as verifiable criteria ('training completed by X roles', 'support articles published'), not activities.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readiness criterion: "Item: operations team training | Criterion: ≥95% of case officers have completed module CT-3 and passed the scenario assessment | Owner: Business Readiness Lead | Evidence: learning system completion report | Due: go-live minus 10 business days."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</si>
  <si>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BT-04-D1</t>
  </si>
  <si>
    <t>Transition Requirements &amp; Readiness Checklist</t>
  </si>
  <si>
    <t>System Transition Plan; Operational Readiness support</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</si>
  <si>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and go-live scope: [DESCRIBE]. Teams impacted: [LIST]. Cutover constraints: [DATES, BLACKOUT PERIODS, PARALLEL RUN?]. The audience for this output: Readiness leads (execution) and go-live decision forum (go/no-go).</t>
  </si>
  <si>
    <t>Define what must be true before go-live: transition requirements plus a verifiable readiness checklist. Draft requirements and checklist. Flag the items most commonly missed (access provisioning lead times, support knowledge articles, external party comms). Before drafting, ask me up to 5 clarifying questions about anything missing, then wait for my answers.</t>
  </si>
  <si>
    <t>Requirements grouped: process transition, data cutover, access and security, training and comms, support readiness, business continuity/rollback. Checklist table: item; readiness criterion (verifiable); owner; evidence required; due date relative to go-live; status. Include go/no-go criteria and rollback triggers.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</si>
  <si>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rollback trigger: "Trigger R2: &gt;5% of service requests failing to save in the first 4 business hours → invoke rollback step 6 (re-point DNS to legacy form, comms template C-2 to customers, incident bridge stood up). Decision holder: Service Owner."</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</si>
  <si>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and go-live scope: [DESCRIBE]. Teams impacted: [LIST]. Cutover constraints: [DATES, BLACKOUT PERIODS, PARALLEL RUN?]. The audience for this output: Readiness leads (execution) and go-live decision forum (go/no-go).
# ACTION
Define what must be true before go-live: transition requirements plus a verifiable readiness checklist. Draft requirements and checklist. Flag the items most commonly missed (access provisioning lead times, support knowledge articles, external party comms). Before drafting, ask me up to 5 clarifying questions about anything missing, then wait for my answers.
# RESULT / FORMAT
Requirements grouped: process transition, data cutover, access and security, training and comms, support readiness, business continuity/rollback. Checklist table: item; readiness criterion (verifiable); owner; evidence required; due date relative to go-live; status. Include go/no-go criteria and rollback triggers.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rollback trigger: "Trigger R2: &gt;5% of service requests failing to save in the first 4 business hours → invoke rollback step 6 (re-point DNS to legacy form, comms template C-2 to customers, incident bridge stood up). Decision holder: Service Owner."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</si>
  <si>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BT-04-D2</t>
  </si>
  <si>
    <t>Showcase &amp; Desk Check Pack</t>
  </si>
  <si>
    <t>Showcases; Dev walkthroughs; Desk checks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</si>
  <si>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Functionality to demonstrate/validate: [PASTE FEATURES/STORIES]. Audience: [BUSINESS SMEs / SUPPORT / SPONSOR]. The audience for this output: Business SMEs and stakeholders attending; BA facilitating.</t>
  </si>
  <si>
    <t>Design the showcase session and desk check scripts that let the business validate the build against their needs. Draft both packs. Ensure scenarios cover the highest-risk and highest-frequency paths first, and say why you ranked them so. Before drafting, ask me up to 5 clarifying questions about anything missing, then wait for my answers.</t>
  </si>
  <si>
    <t>Showcase: agenda; demo scenarios in business language (scenario, persona, data setup, steps, expected outcome, requirement/story reference); anticipated questions with suggested answers. Desk check scripts: numbered steps a business SME can follow unaided, expected result per step, pass/fail capture, defect logging instructions.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</si>
  <si>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demo scenario: "Scenario 3 – Customer lodges a request with photos (persona: small business owner, mobile). Data: synthetic customer C-TEST-04. Steps: lodge → triage queue → officer assignment. Expected: request visible to triage within 60s with photos attached. Refs: ST-021, ST-025."</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</si>
  <si>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Functionality to demonstrate/validate: [PASTE FEATURES/STORIES]. Audience: [BUSINESS SMEs / SUPPORT / SPONSOR]. The audience for this output: Business SMEs and stakeholders attending; BA facilitating.
# ACTION
Design the showcase session and desk check scripts that let the business validate the build against their needs. Draft both packs. Ensure scenarios cover the highest-risk and highest-frequency paths first, and say why you ranked them so. Before drafting, ask me up to 5 clarifying questions about anything missing, then wait for my answers.
# RESULT / FORMAT
Showcase: agenda; demo scenarios in business language (scenario, persona, data setup, steps, expected outcome, requirement/story reference); anticipated questions with suggested answers. Desk check scripts: numbered steps a business SME can follow unaided, expected result per step, pass/fail capture, defect logging instructions.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demo scenario: "Scenario 3 – Customer lodges a request with photos (persona: small business owner, mobile). Data: synthetic customer C-TEST-04. Steps: lodge → triage queue → officer assignment. Expected: request visible to triage within 60s with photos attached. Refs: ST-021, ST-025."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</si>
  <si>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BT-05-M</t>
  </si>
  <si>
    <t>Requirements Governance &amp; Traceability</t>
  </si>
  <si>
    <t>Master – Requirements Governance &amp; Traceability</t>
  </si>
  <si>
    <t>Traceability Matrix; Decision Log; Information Governance Artefacts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</si>
  <si>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Artefact set under governance: [LIST — needs, requirements, stories, designs, tests]. Change control process: [DESCRIBE OR 'STANDARD']. Baseline status: [BASELINED ON DATE / NOT YET]. The audience for this output: Project governance, auditors, and the delivery team relying on a single source of truth.</t>
  </si>
  <si>
    <t>Maintain control of requirements and decisions: traceability from business need through to test, a disciplined decision log, change control support and consistency checking across artefacts. Produce on request: (1) traceability matrix structure and population from pasted artefacts (need → requirement → story → test, with gaps flagged); (2) decision log entries from meeting notes (decision, date, decider, rationale, alternatives rejected, impacts); (3) scope creep review of new requests against the baseline (within scope / beyond scope / ambiguous, with recommended action); (4) cross-artefact consistency check flagging contradictions.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</si>
  <si>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Every requirement traces forward to verification and back to a business need; orphans in either direction are findings, not footnotes.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</si>
  <si>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trace row: "BN-03 → FR-014, FR-015 → ST-041 → UAT-C12, UAT-C13 (covered). Gap example: FR-022 has no source business need — flagged as potential scope creep, action: confirm with sponsor or remove from baseline."</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</si>
  <si>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Artefact set under governance: [LIST — needs, requirements, stories, designs, tests]. Change control process: [DESCRIBE OR 'STANDARD']. Baseline status: [BASELINED ON DATE / NOT YET]. The audience for this output: Project governance, auditors, and the delivery team relying on a single source of truth.
# ACTION
Maintain control of requirements and decisions: traceability from business need through to test, a disciplined decision log, change control support and consistency checking across artefacts. Produce on request: (1) traceability matrix structure and population from pasted artefacts (need → requirement → story → test, with gaps flagged); (2) decision log entries from meeting notes (decision, date, decider, rationale, alternatives rejected, impacts); (3) scope creep review of new requests against the baseline (within scope / beyond scope / ambiguous, with recommended action); (4) cross-artefact consistency check flagging contradictions.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Every requirement traces forward to verification and back to a business need; orphans in either direction are findings, not footnotes.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trace row: "BN-03 → FR-014, FR-015 → ST-041 → UAT-C12, UAT-C13 (covered). Gap example: FR-022 has no source business need — flagged as potential scope creep, action: confirm with sponsor or remove from baseline."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</si>
  <si>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BT-05-D1</t>
  </si>
  <si>
    <t>Traceability Matrix Build &amp; Gap Report</t>
  </si>
  <si>
    <t>Traceability Matrix</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</si>
  <si>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Artefacts: [PASTE BUSINESS NEEDS], [PASTE REQUIREMENTS/STORIES], [PASTE TEST CASES OR 'NONE YET']. The audience for this output: BA and test lead (fix gaps); governance (assurance).</t>
  </si>
  <si>
    <t>Build the traceability matrix from the pasted artefacts and report every gap. Build matrix and gap report. Do not force-fit doubtful links — mark them 'UNCERTAIN — CONFIRM' instead. Before drafting, ask me up to 5 clarifying questions about anything missing, then wait for my answers.</t>
  </si>
  <si>
    <t>Matrix: business need ID → requirement ID(s) → story ID(s) → test ID(s), one row per requirement. Gap report: needs with no requirements; requirements with no source need (potential scope creep); requirements with no test coverage; tests with no requirement. Each gap: severity and recommended action.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</si>
  <si>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gap finding: "Requirement FR-018 (bulk reassignment of cases) has no test coverage. Severity: high — go-live function. Action: test lead to add scenario; trace once created. Orphan test UAT-C30 references a retired requirement — retire or re-link."</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</si>
  <si>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Artefacts: [PASTE BUSINESS NEEDS], [PASTE REQUIREMENTS/STORIES], [PASTE TEST CASES OR 'NONE YET']. The audience for this output: BA and test lead (fix gaps); governance (assurance).
# ACTION
Build the traceability matrix from the pasted artefacts and report every gap. Build matrix and gap report. Do not force-fit doubtful links — mark them 'UNCERTAIN — CONFIRM' instead. Before drafting, ask me up to 5 clarifying questions about anything missing, then wait for my answers.
# RESULT / FORMAT
Matrix: business need ID → requirement ID(s) → story ID(s) → test ID(s), one row per requirement. Gap report: needs with no requirements; requirements with no source need (potential scope creep); requirements with no test coverage; tests with no requirement. Each gap: severity and recommended action.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gap finding: "Requirement FR-018 (bulk reassignment of cases) has no test coverage. Severity: high — go-live function. Action: test lead to add scenario; trace once created. Orphan test UAT-C30 references a retired requirement — retire or re-link."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</si>
  <si>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BT-05-D2</t>
  </si>
  <si>
    <t>Decision Log Entries from Meeting Notes</t>
  </si>
  <si>
    <t>Decision Log</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</si>
  <si>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Meeting notes/threads containing decisions: [PASTE]. The audience for this output: Governance forums and future team members needing the 'why'.</t>
  </si>
  <si>
    <t>Extract and formalise every decision into audit-ready decision log entries. Extract the entries. Where the notes imply but do not state a decision, put it in the 'not decided' table with a question to close it out. Before drafting, ask me up to 5 clarifying questions about anything missing, then wait for my answers.</t>
  </si>
  <si>
    <t>Per decision: ID; date; decision statement (one sentence, unambiguous); decision maker and forum; rationale; alternatives considered and why rejected; requirements/artefacts impacted; follow-up actions. Separate table for items discussed but NOT decided, to prevent phantom decisions.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</si>
  <si>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entry: "D-014 | 15/07/2026 | Decision: service requests older than 7 years will be archived, not migrated | Decider: Data Governance Board | Rationale: retention schedule [REF]; migration cost | Alternatives rejected: full history migration (cost), purge (breaches retention) | Impacts: REQ-M-07 updated; migration scope catalogue v3 | Action: archive access procedure to be defined (A-22)."</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</si>
  <si>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Meeting notes/threads containing decisions: [PASTE]. The audience for this output: Governance forums and future team members needing the 'why'.
# ACTION
Extract and formalise every decision into audit-ready decision log entries. Extract the entries. Where the notes imply but do not state a decision, put it in the 'not decided' table with a question to close it out. Before drafting, ask me up to 5 clarifying questions about anything missing, then wait for my answers.
# RESULT / FORMAT
Per decision: ID; date; decision statement (one sentence, unambiguous); decision maker and forum; rationale; alternatives considered and why rejected; requirements/artefacts impacted; follow-up actions. Separate table for items discussed but NOT decided, to prevent phantom decisions.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entry: "D-014 | 15/07/2026 | Decision: service requests older than 7 years will be archived, not migrated | Decider: Data Governance Board | Rationale: retention schedule [REF]; migration cost | Alternatives rejected: full history migration (cost), purge (breaches retention) | Impacts: REQ-M-07 updated; migration scope catalogue v3 | Action: archive access procedure to be defined (A-22)."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</si>
  <si>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BT-06-M</t>
  </si>
  <si>
    <t>Sizing, Estimation, Dependency and Prioritisation Management</t>
  </si>
  <si>
    <t>Master – Sizing, Estimation &amp; Prioritisation</t>
  </si>
  <si>
    <t>BA Plan; Estimates; Assumptions; Resource Forecasts; Prioritisation; Dependency management</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</si>
  <si>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Work to size/plan: [DESCRIBE SCOPE]. Team and capacity: [BA RESOURCES, AVAILABILITY]. Known constraints and dates: [LIST]. The audience for this output: Project manager, delivery leads and resource managers.</t>
  </si>
  <si>
    <t>Support definition and prioritisation of requirements and BA work based on business and technical needs and dependencies: BA planning, estimation with explicit assumptions, dependency mapping and prioritisation. Produce on request: (1) BA plan (activities, deliverables, approach, estimate range, dependencies per phase); (2) estimation breakdowns with assumptions log; (3) dependency map (item, depends on, type, criticality, risk if late) plus a suggested sequence; (4) prioritisation using MoSCoW or value/effort with rationale and deferral risks.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</si>
  <si>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Estimates always as ranges with confidence levels and stated assumptions; single-point estimates are not acceptable. Dependencies typed (needs-before / informs / shares-resource).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</si>
  <si>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estimate row: "Phase: Elicitation &amp; analysis | Activities: 6 workshops + synthesis | Deliverables: business needs statements, as-is maps | Estimate: 18–24 BA days (confidence: medium) | Assumption: SMEs available within 5 business days of request — if wrong, add 1 week elapsed per workshop."</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</si>
  <si>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Work to size/plan: [DESCRIBE SCOPE]. Team and capacity: [BA RESOURCES, AVAILABILITY]. Known constraints and dates: [LIST]. The audience for this output: Project manager, delivery leads and resource managers.
# ACTION
Support definition and prioritisation of requirements and BA work based on business and technical needs and dependencies: BA planning, estimation with explicit assumptions, dependency mapping and prioritisation. Produce on request: (1) BA plan (activities, deliverables, approach, estimate range, dependencies per phase); (2) estimation breakdowns with assumptions log; (3) dependency map (item, depends on, type, criticality, risk if late) plus a suggested sequence; (4) prioritisation using MoSCoW or value/effort with rationale and deferral risks.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Estimates always as ranges with confidence levels and stated assumptions; single-point estimates are not acceptable. Dependencies typed (needs-before / informs / shares-resource).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estimate row: "Phase: Elicitation &amp; analysis | Activities: 6 workshops + synthesis | Deliverables: business needs statements, as-is maps | Estimate: 18–24 BA days (confidence: medium) | Assumption: SMEs available within 5 business days of request — if wrong, add 1 week elapsed per workshop."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</si>
  <si>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BT-06-D1</t>
  </si>
  <si>
    <t>BA Plan &amp; Estimates</t>
  </si>
  <si>
    <t>BA Plan; Estimates; Assumptions; Resource Forecasts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</si>
  <si>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Scope of BA work: [DESCRIBE PHASES/DELIVERABLES EXPECTED]. Resources: [WHO, AVAILABILITY]. The audience for this output: PM (planning), resource managers (forecast), BA team (execution).</t>
  </si>
  <si>
    <t>Draft the BA plan with estimated effort and an explicit assumptions log. Draft the plan. Challenge scope items that look under- or over-invested relative to their risk. Before drafting, ask me up to 5 clarifying questions about anything missing, then wait for my answers.</t>
  </si>
  <si>
    <t>Plan table: phase; BA activities; deliverables; approach/techniques; effort estimate (range, confidence); dependencies; risks. Resource forecast by week/sprint. Assumptions log: assumption; impact if wrong; validation owner. Include elicitation availability of stakeholders as an explicit planning risk.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</si>
  <si>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assumption entry: "A-03: Vendor API documentation is current and complete. Impact if wrong: interface analysis re-work, +5–8 days. Validation: request doc version + change log from vendor by [DATE]; owner: Tech BA."</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</si>
  <si>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Scope of BA work: [DESCRIBE PHASES/DELIVERABLES EXPECTED]. Resources: [WHO, AVAILABILITY]. The audience for this output: PM (planning), resource managers (forecast), BA team (execution).
# ACTION
Draft the BA plan with estimated effort and an explicit assumptions log. Draft the plan. Challenge scope items that look under- or over-invested relative to their risk. Before drafting, ask me up to 5 clarifying questions about anything missing, then wait for my answers.
# RESULT / FORMAT
Plan table: phase; BA activities; deliverables; approach/techniques; effort estimate (range, confidence); dependencies; risks. Resource forecast by week/sprint. Assumptions log: assumption; impact if wrong; validation owner. Include elicitation availability of stakeholders as an explicit planning risk.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assumption entry: "A-03: Vendor API documentation is current and complete. Impact if wrong: interface analysis re-work, +5–8 days. Validation: request doc version + change log from vendor by [DATE]; owner: Tech BA."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</si>
  <si>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BT-06-D2</t>
  </si>
  <si>
    <t>Dependency Map &amp; Prioritisation</t>
  </si>
  <si>
    <t>Prioritisation; Dependency management</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</si>
  <si>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Items to sequence: [PASTE REQUIREMENTS/FEATURES/WORK ITEMS]. Constraints: [DATES, TEAMS, TECHNICAL DEPENDENCIES]. The audience for this output: Delivery leads and prioritisation forum.</t>
  </si>
  <si>
    <t>Map dependencies and produce a defensible priority order. Deliver map, diagram and prioritisation. Flag circular or fragile dependency chains explicitly. Before drafting, ask me up to 5 clarifying questions about anything missing, then wait for my answers.</t>
  </si>
  <si>
    <t>Dependency table: item; depends on; dependency type; criticality; risk if late; owner. Then a Mermaid dependency diagram. Prioritisation: MoSCoW (or my chosen lens) with one-sentence rationale each, deferral risk, and descope alternatives for contested Must-Haves. Highlight the critical path.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</si>
  <si>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dependency row: "Item: billing calculation stories | Depends on: finalised charging-rule ruling (Policy team) | Type: needs-before | Criticality: high — blocks 3 sprints of build | Risk if late: delivery slips past the annual billing cycle | Owner: Policy Lead. (Critical path: charging ruling → billing stories → billing-cycle testing.)"</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</si>
  <si>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Items to sequence: [PASTE REQUIREMENTS/FEATURES/WORK ITEMS]. Constraints: [DATES, TEAMS, TECHNICAL DEPENDENCIES]. The audience for this output: Delivery leads and prioritisation forum.
# ACTION
Map dependencies and produce a defensible priority order. Deliver map, diagram and prioritisation. Flag circular or fragile dependency chains explicitly. Before drafting, ask me up to 5 clarifying questions about anything missing, then wait for my answers.
# RESULT / FORMAT
Dependency table: item; depends on; dependency type; criticality; risk if late; owner. Then a Mermaid dependency diagram. Prioritisation: MoSCoW (or my chosen lens) with one-sentence rationale each, deferral risk, and descope alternatives for contested Must-Haves. Highlight the critical path.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dependency row: "Item: billing calculation stories | Depends on: finalised charging-rule ruling (Policy team) | Type: needs-before | Criticality: high — blocks 3 sprints of build | Risk if late: delivery slips past the annual billing cycle | Owner: Policy Lead. (Critical path: charging ruling → billing stories → billing-cycle testing.)"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</si>
  <si>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BT-07-M</t>
  </si>
  <si>
    <t>Solution Analysis &amp; Design Support</t>
  </si>
  <si>
    <t>Master – Solution Analysis &amp; Design Support</t>
  </si>
  <si>
    <t>Solution Options Assessment; Regulatory &amp; Policy Compliance Assessments; Business Rules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</si>
  <si>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Design decision(s) in play: [DESCRIBE]. Options on the table: [LIST OR 'TO BE GENERATED']. Compliance obligations in scope: [PRIVACY / INFORMATION SECURITY / SECTOR REGULATION / ACCESSIBILITY / RECORDS — LIST KNOWN]. The audience for this output: Solution designers, architects, design authority and business owners.</t>
  </si>
  <si>
    <t>Assess solution options and compliance needs so design decisions are made with clear business analysis: option assessments, regulatory and policy compliance assessments, and the business rules the solution must honour. Produce on request: (1) solution options assessment (criteria and weights, option scores with rationale, sensitivity check, recommendation); (2) compliance assessment (obligation, requirement it creates, solution behaviour, gap, remediation); (3) business rules extraction and categorisation (constraint / computation / derivation / inference) with ambiguity flags.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</si>
  <si>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Options assessed against weighted criteria agreed before scoring; compliance findings cite the specific obligation and the specific solution behaviour.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</si>
  <si>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option commentary: "Option B – Configure existing CRM case module: Fit 4/5 (meets 9 of 10 Must-Haves; gap: field mobility offline mode). Cost: low-medium (licence already held). Risk: medium — CRM roadmap uncertainty. Evidence: vendor demo 3/7, config spike results."</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</si>
  <si>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Design decision(s) in play: [DESCRIBE]. Options on the table: [LIST OR 'TO BE GENERATED']. Compliance obligations in scope: [PRIVACY / INFORMATION SECURITY / SECTOR REGULATION / ACCESSIBILITY / RECORDS — LIST KNOWN]. The audience for this output: Solution designers, architects, design authority and business owners.
# ACTION
Assess solution options and compliance needs so design decisions are made with clear business analysis: option assessments, regulatory and policy compliance assessments, and the business rules the solution must honour. Produce on request: (1) solution options assessment (criteria and weights, option scores with rationale, sensitivity check, recommendation); (2) compliance assessment (obligation, requirement it creates, solution behaviour, gap, remediation); (3) business rules extraction and categorisation (constraint / computation / derivation / inference) with ambiguity flags.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Options assessed against weighted criteria agreed before scoring; compliance findings cite the specific obligation and the specific solution behaviour.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option commentary: "Option B – Configure existing CRM case module: Fit 4/5 (meets 9 of 10 Must-Haves; gap: field mobility offline mode). Cost: low-medium (licence already held). Risk: medium — CRM roadmap uncertainty. Evidence: vendor demo 3/7, config spike results."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</si>
  <si>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BT-07-D1</t>
  </si>
  <si>
    <t>Solution Options Assessment</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</si>
  <si>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Decision needed: [STATE THE DESIGN QUESTION]. Options: [LIST 2-4 OPTIONS WITH A LINE EACH]. Priorities: [WHAT MATTERS MOST — COST/SPEED/RISK/CAPABILITY]. The audience for this output: Design authority / steering committee deciding.</t>
  </si>
  <si>
    <t>Produce an options assessment that makes the trade-offs explicit and recommends defensibly. Propose criteria and weights from my priorities, ask me to confirm, then assess. State every assumption behind a score. Before drafting, ask me up to 5 clarifying questions about anything missing, then wait for my answers.</t>
  </si>
  <si>
    <t>Criteria table (criterion, weight, why it matters) agreed first; option-by-criterion assessment with evidence-based commentary, not bare scores; cost/risk/benefit summary per option including 'do nothing'; sensitivity note (does the recommendation flip if a weight changes?); recommendation with conditions.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</si>
  <si>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sensitivity note: "Recommendation (Option B) holds unless 'time to deliver' weight rises above 30% — at that point Option C (SaaS point solution) scores higher. Decision is NOT sensitive to cost weighting within ±10pp."</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</si>
  <si>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Decision needed: [STATE THE DESIGN QUESTION]. Options: [LIST 2-4 OPTIONS WITH A LINE EACH]. Priorities: [WHAT MATTERS MOST — COST/SPEED/RISK/CAPABILITY]. The audience for this output: Design authority / steering committee deciding.
# ACTION
Produce an options assessment that makes the trade-offs explicit and recommends defensibly. Propose criteria and weights from my priorities, ask me to confirm, then assess. State every assumption behind a score. Before drafting, ask me up to 5 clarifying questions about anything missing, then wait for my answers.
# RESULT / FORMAT
Criteria table (criterion, weight, why it matters) agreed first; option-by-criterion assessment with evidence-based commentary, not bare scores; cost/risk/benefit summary per option including 'do nothing'; sensitivity note (does the recommendation flip if a weight changes?); recommendation with conditions.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sensitivity note: "Recommendation (Option B) holds unless 'time to deliver' weight rises above 30% — at that point Option C (SaaS point solution) scores higher. Decision is NOT sensitive to cost weighting within ±10pp."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</si>
  <si>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BT-07-D2</t>
  </si>
  <si>
    <t>Regulatory &amp; Policy Compliance Assessment</t>
  </si>
  <si>
    <t>Regulatory &amp; Policy Compliance Assessments; Business Rules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</si>
  <si>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behaviour: [DESCRIBE WHAT THE SOLUTION DOES, DATA IT TOUCHES]. Obligations to assess against: [LIST — e.g. privacy legislation, legislation covering health or other sensitive information, information security standards, sector regulation, records legislation]. The audience for this output: Design team (remediation), legal/privacy advisors (confirmation), governance (assurance).</t>
  </si>
  <si>
    <t>Assess the solution against each obligation and derive the business rules and requirements needed for compliance. Draft the assessment and rules. Mark every interpretation that needs legal/privacy confirmation. Before drafting, ask me up to 5 clarifying questions about anything missing, then wait for my answers.</t>
  </si>
  <si>
    <t>Assessment table: obligation (with clause/standard reference where I supply it); requirement it creates; current/proposed solution behaviour; compliant / gap / unclear; remediation requirement. Then derived business rules, categorised. Do not give legal advice — frame findings as analysis for legal/privacy team confirmation.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</si>
  <si>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compliance row: "Obligation: the security principle in our applicable privacy legislation — reasonable security of personal information | Requirement created: role-based access to case documents with audit logging | Proposed behaviour: all users can open any case document | Finding: GAP | Remediation: restrict document access to assigned officers + audit trail [LEGAL/PRIVACY TO CONFIRM interpretation]."</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</si>
  <si>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behaviour: [DESCRIBE WHAT THE SOLUTION DOES, DATA IT TOUCHES]. Obligations to assess against: [LIST — e.g. privacy legislation, legislation covering health or other sensitive information, information security standards, sector regulation, records legislation]. The audience for this output: Design team (remediation), legal/privacy advisors (confirmation), governance (assurance).
# ACTION
Assess the solution against each obligation and derive the business rules and requirements needed for compliance. Draft the assessment and rules. Mark every interpretation that needs legal/privacy confirmation. Before drafting, ask me up to 5 clarifying questions about anything missing, then wait for my answers.
# RESULT / FORMAT
Assessment table: obligation (with clause/standard reference where I supply it); requirement it creates; current/proposed solution behaviour; compliant / gap / unclear; remediation requirement. Then derived business rules, categorised. Do not give legal advice — frame findings as analysis for legal/privacy team confirmation.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compliance row: "Obligation: the security principle in our applicable privacy legislation — reasonable security of personal information | Requirement created: role-based access to case documents with audit logging | Proposed behaviour: all users can open any case document | Finding: GAP | Remediation: restrict document access to assigned officers + audit trail [LEGAL/PRIVACY TO CONFIRM interpretation]."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</si>
  <si>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BT-08-M</t>
  </si>
  <si>
    <t>Stakeholder Analysis &amp; Engagement</t>
  </si>
  <si>
    <t>Master – Stakeholder Analysis &amp; Engagement</t>
  </si>
  <si>
    <t>Stakeholder Register; Stakeholder/SME Engagement Plan; Workshops; Showcases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</si>
  <si>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Initiative stakeholder landscape: [LIST KNOWN STAKEHOLDERS/AREAS, INTERNAL AND EXTERNAL — e.g. operations teams, field staff, delivery partners, employee representatives, customer groups, IT, vendors]. Sensitivities: [ANY KNOWN POLITICS OR HISTORY]. The audience for this output: BA and project leadership using the plan; some outputs (comms) go direct to stakeholders.</t>
  </si>
  <si>
    <t>Identify contributing stakeholders and manage engagement and alignment: registers, interest/influence mapping, engagement plans, RACI, conflict resolution strategies and engagement communications. Produce on request: (1) stakeholder register (name/role, area, interest, influence, attitude, needs, engagement approach, cadence, owner); (2) interest/influence matrix with tailored strategies, alliances and risk flags; (3) RACI for pasted activities with bottleneck checks (3+ Consulted, missing Accountable); (4) conflict resolution strategy for two named positions (underlying needs, 3 approaches, recommended talking points); (5) audience-tailored update messages. Ask me about organisational dynamics before mapping.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</si>
  <si>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Engagement strategies must be specific to the stakeholder ('fortnightly 1:1 with the operations manager focused on X'), never generic ('keep informed').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</si>
  <si>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register row: "Stakeholder: Operations Manager (N. Patel) | Interest: fears productivity dip during cutover | Influence: High (owns rostering) | Attitude: neutral | Approach: fortnightly 1:1 focused on transition workload modelling; involve in UAT scheduling decisions | Cadence: fortnightly | Owner: Senior BA."</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</si>
  <si>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Initiative stakeholder landscape: [LIST KNOWN STAKEHOLDERS/AREAS, INTERNAL AND EXTERNAL — e.g. operations teams, field staff, delivery partners, employee representatives, customer groups, IT, vendors]. Sensitivities: [ANY KNOWN POLITICS OR HISTORY]. The audience for this output: BA and project leadership using the plan; some outputs (comms) go direct to stakeholders.
# ACTION
Identify contributing stakeholders and manage engagement and alignment: registers, interest/influence mapping, engagement plans, RACI, conflict resolution strategies and engagement communications. Produce on request: (1) stakeholder register (name/role, area, interest, influence, attitude, needs, engagement approach, cadence, owner); (2) interest/influence matrix with tailored strategies, alliances and risk flags; (3) RACI for pasted activities with bottleneck checks (3+ Consulted, missing Accountable); (4) conflict resolution strategy for two named positions (underlying needs, 3 approaches, recommended talking points); (5) audience-tailored update messages. Ask me about organisational dynamics before mapping.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Engagement strategies must be specific to the stakeholder ('fortnightly 1:1 with the operations manager focused on X'), never generic ('keep informed').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register row: "Stakeholder: Operations Manager (N. Patel) | Interest: fears productivity dip during cutover | Influence: High (owns rostering) | Attitude: neutral | Approach: fortnightly 1:1 focused on transition workload modelling; involve in UAT scheduling decisions | Cadence: fortnightly | Owner: Senior BA."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</si>
  <si>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BT-08-D1</t>
  </si>
  <si>
    <t>Stakeholder Register &amp; Engagement Plan</t>
  </si>
  <si>
    <t>Stakeholder Register; Stakeholder/SME Engagement Plan</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</si>
  <si>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Known stakeholders: [LIST WITH ROLES]. Project impact on each: [BRIEF NOTES]. Sensitivities: [NOTES]. The audience for this output: BA and project leadership — treat as internally sensitive.</t>
  </si>
  <si>
    <t>Build the stakeholder register and a specific, actionable engagement plan. Ask me 3-4 questions about dynamics first, then draft. Flag likely missing stakeholders based on the initiative type (e.g. employee representatives, privacy officer, records management, delivery partners). Before drafting, ask me up to 5 clarifying questions about anything missing, then wait for my answers.</t>
  </si>
  <si>
    <t>Register: stakeholder; role/area; interest (what they care about, in their words); influence H/M/L with why; current attitude (champion/supportive/neutral/resistant); engagement approach specific to them; cadence and channel; relationship owner. Plan: sequenced engagement actions for the next [PERIOD], plus risk flags (blockers, hidden stakeholders, alliances to build).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</si>
  <si>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risk flag: "Hidden stakeholder risk: outsourced service partners process 60% of cases but are not in the engagement list — their process changes at cutover. Action: add partner relationship managers; brief via the existing monthly partner forum rather than a new channel."</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</si>
  <si>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Known stakeholders: [LIST WITH ROLES]. Project impact on each: [BRIEF NOTES]. Sensitivities: [NOTES]. The audience for this output: BA and project leadership — treat as internally sensitive.
# ACTION
Build the stakeholder register and a specific, actionable engagement plan. Ask me 3-4 questions about dynamics first, then draft. Flag likely missing stakeholders based on the initiative type (e.g. employee representatives, privacy officer, records management, delivery partners). Before drafting, ask me up to 5 clarifying questions about anything missing, then wait for my answers.
# RESULT / FORMAT
Register: stakeholder; role/area; interest (what they care about, in their words); influence H/M/L with why; current attitude (champion/supportive/neutral/resistant); engagement approach specific to them; cadence and channel; relationship owner. Plan: sequenced engagement actions for the next [PERIOD], plus risk flags (blockers, hidden stakeholders, alliances to build).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risk flag: "Hidden stakeholder risk: outsourced service partners process 60% of cases but are not in the engagement list — their process changes at cutover. Action: add partner relationship managers; brief via the existing monthly partner forum rather than a new channel."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</si>
  <si>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BT-08-D2</t>
  </si>
  <si>
    <t>Workshop / Showcase Session Design</t>
  </si>
  <si>
    <t>Workshops; Showcases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</si>
  <si>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Session purpose: [ALIGNMENT / ELICITATION / VALIDATION / SHOWCASE]. Attendees: [ROLES AND ATTITUDES]. Duration: [LENGTH]. Decisions or outputs needed: [LIST]. The audience for this output: Attendees (agenda) and facilitator (full design).</t>
  </si>
  <si>
    <t>Design a session that achieves its stated outputs and keeps a mixed-attitude audience engaged. Draft the design. Note where resistant stakeholders need specific handling and how. Before drafting, ask me up to 5 clarifying questions about anything missing, then wait for my answers.</t>
  </si>
  <si>
    <t>Timed agenda with facilitation technique per segment (e.g. silent brainstorm, dot voting, walkthrough); pre-work required; materials list; per-segment output; contingency options if a segment stalls or conflict erupts; follow-up comms outline.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</si>
  <si>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agenda segment: "14:20–14:40 To-be walkthrough (technique: paper walkthrough, one scenario per table; output: annotated to-be maps). Contingency: if legal rep challenges retention step, park to follow-up with Records — do not resolve live."</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</si>
  <si>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Session purpose: [ALIGNMENT / ELICITATION / VALIDATION / SHOWCASE]. Attendees: [ROLES AND ATTITUDES]. Duration: [LENGTH]. Decisions or outputs needed: [LIST]. The audience for this output: Attendees (agenda) and facilitator (full design).
# ACTION
Design a session that achieves its stated outputs and keeps a mixed-attitude audience engaged. Draft the design. Note where resistant stakeholders need specific handling and how. Before drafting, ask me up to 5 clarifying questions about anything missing, then wait for my answers.
# RESULT / FORMAT
Timed agenda with facilitation technique per segment (e.g. silent brainstorm, dot voting, walkthrough); pre-work required; materials list; per-segment output; contingency options if a segment stalls or conflict erupts; follow-up comms outline.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agenda segment: "14:20–14:40 To-be walkthrough (technique: paper walkthrough, one scenario per table; output: annotated to-be maps). Contingency: if legal rep challenges retention step, park to follow-up with Records — do not resolve live."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</si>
  <si>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BT-09-M</t>
  </si>
  <si>
    <t>Testing &amp; Requirements Validation Support</t>
  </si>
  <si>
    <t>Master – Testing &amp; Requirements Validation</t>
  </si>
  <si>
    <t>Requirements Validation; UAT Support; Desk Checks; Solution Reviews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</si>
  <si>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Requirements/stories under test: [PASTE OR REFERENCE]. Test phase: [SIT / UAT / DESK CHECK / BUSINESS VERIFICATION]. Testers: [WHO — TESTERS, BUSINESS SMEs]. The audience for this output: Test lead and testers; business SMEs performing UAT; delivery team receiving defects.</t>
  </si>
  <si>
    <t>Support testers and the business to confirm the solution meets business needs: derive test scenarios from requirements, validate coverage, support UAT execution and review solution behaviour against intent. Produce on request: (1) UAT scenarios and scripts from pasted requirements (scenario, preconditions/data, steps, expected result, requirement ref) covering happy, negative and edge paths; (2) coverage review flagging requirements with no scenario and scenarios with no requirement; (3) desk check scripts for business users; (4) defect descriptions rewritten so developers can reproduce (steps, expected vs actual, impact); (5) solution review checklists against original intent.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</si>
  <si>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Every scenario traces to a requirement; negative and edge cases are mandatory, not optional extras. UAT materials assume business users, not professional testers.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</si>
  <si>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UAT scenario: "UAT-C12: Lodge a service request with attachments (refs FR-014, FR-031). Type: happy path. Preconditions: synthetic customer C-TEST-04, test images. Expected: request saved, reference number displayed, triage queue updated within 60s."</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</si>
  <si>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Requirements/stories under test: [PASTE OR REFERENCE]. Test phase: [SIT / UAT / DESK CHECK / BUSINESS VERIFICATION]. Testers: [WHO — TESTERS, BUSINESS SMEs]. The audience for this output: Test lead and testers; business SMEs performing UAT; delivery team receiving defects.
# ACTION
Support testers and the business to confirm the solution meets business needs: derive test scenarios from requirements, validate coverage, support UAT execution and review solution behaviour against intent. Produce on request: (1) UAT scenarios and scripts from pasted requirements (scenario, preconditions/data, steps, expected result, requirement ref) covering happy, negative and edge paths; (2) coverage review flagging requirements with no scenario and scenarios with no requirement; (3) desk check scripts for business users; (4) defect descriptions rewritten so developers can reproduce (steps, expected vs actual, impact); (5) solution review checklists against original intent.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Every scenario traces to a requirement; negative and edge cases are mandatory, not optional extras. UAT materials assume business users, not professional testers.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UAT scenario: "UAT-C12: Lodge a service request with attachments (refs FR-014, FR-031). Type: happy path. Preconditions: synthetic customer C-TEST-04, test images. Expected: request saved, reference number displayed, triage queue updated within 60s."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</si>
  <si>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BT-09-D1</t>
  </si>
  <si>
    <t>UAT Scenarios &amp; Scripts from Requirements</t>
  </si>
  <si>
    <t>UAT Support</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</si>
  <si>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Requirements/stories: [PASTE]. UAT participants: [BUSINESS ROLES]. Test environment and data constraints: [NOTES — e.g. masked production data only]. The audience for this output: Business SMEs executing UAT; test lead tracking coverage.</t>
  </si>
  <si>
    <t>Produce UAT scenarios and step-by-step scripts business users can execute unaided. Draft catalogue and scripts. Then self-review: list requirements with thin coverage and edge cases you could not derive without more information. Before drafting, ask me up to 5 clarifying questions about anything missing, then wait for my answers.</t>
  </si>
  <si>
    <t>Scenario catalogue first (ID, title, requirement refs, priority, type: happy/negative/edge). Then scripts: preconditions and test data needs (flag privacy constraints on production-like data); numbered steps in plain business language; expected result per step; pass/fail and evidence capture instructions.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</si>
  <si>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script step: "Step 4: Select 'Add attachment' and choose file 'site-photo-1.jpg' (desktop: from TestData folder). Expected: thumbnail appears with green tick; 'Remove' link visible. If the upload spinner persists &gt;30s → record FAIL, screenshot, continue from step 6."</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</si>
  <si>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Requirements/stories: [PASTE]. UAT participants: [BUSINESS ROLES]. Test environment and data constraints: [NOTES — e.g. masked production data only]. The audience for this output: Business SMEs executing UAT; test lead tracking coverage.
# ACTION
Produce UAT scenarios and step-by-step scripts business users can execute unaided. Draft catalogue and scripts. Then self-review: list requirements with thin coverage and edge cases you could not derive without more information. Before drafting, ask me up to 5 clarifying questions about anything missing, then wait for my answers.
# RESULT / FORMAT
Scenario catalogue first (ID, title, requirement refs, priority, type: happy/negative/edge). Then scripts: preconditions and test data needs (flag privacy constraints on production-like data); numbered steps in plain business language; expected result per step; pass/fail and evidence capture instructions.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script step: "Step 4: Select 'Add attachment' and choose file 'site-photo-1.jpg' (desktop: from TestData folder). Expected: thumbnail appears with green tick; 'Remove' link visible. If the upload spinner persists &gt;30s → record FAIL, screenshot, continue from step 6."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</si>
  <si>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BT-09-D2</t>
  </si>
  <si>
    <t>Requirements Validation &amp; Coverage Review</t>
  </si>
  <si>
    <t>Requirements Validation; Solution Reviews</t>
  </si>
  <si>
    <t>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Requirements: [PASTE]. Test scenarios/cases: [PASTE]. Known defects or concerns: [PASTE OR 'NONE']. The audience for this output: Test lead and BA (fixes); governance (assurance).</t>
  </si>
  <si>
    <t>Validate that the test set genuinely proves the requirements, and that requirements remain internally consistent. Run the review and deliver findings. Rank by risk to business outcome, not by count. Before drafting, ask me up to 5 clarifying questions about anything missing, then wait for my answers.</t>
  </si>
  <si>
    <t>Findings table: finding; type (coverage gap / untestable requirement / orphan test / ambiguity / contradiction); location; severity; recommended fix with suggested rewrite where applicable. Summary heat map by requirement area.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</si>
  <si>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finding: "Finding F-07 (coverage gap, severity: high): FR-018 bulk reassignment has no UAT scenario, and its only SIT case tests ≤10 cases while the requirement allows 500. Fix: add volume scenario at 500 cases with the timing target from NFR-P04."</t>
  </si>
  <si>
    <t># CONTEXT
I am a business analyst (Business/Tech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Requirements: [PASTE]. Test scenarios/cases: [PASTE]. Known defects or concerns: [PASTE OR 'NONE']. The audience for this output: Test lead and BA (fixes); governance (assurance).
# ACTION
Validate that the test set genuinely proves the requirements, and that requirements remain internally consistent. Run the review and deliver findings. Rank by risk to business outcome, not by count. Before drafting, ask me up to 5 clarifying questions about anything missing, then wait for my answers.
# RESULT / FORMAT
Findings table: finding; type (coverage gap / untestable requirement / orphan test / ambiguity / contradiction); location; severity; recommended fix with suggested rewrite where applicable. Summary heat map by requirement area.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finding: "Finding F-07 (coverage gap, severity: high): FR-018 bulk reassignment has no UAT scenario, and its only SIT case tests ≤10 cases while the requirement allows 500. Fix: add volume scenario at 500 cases with the timing target from NFR-P04."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</si>
  <si>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TB-01-M</t>
  </si>
  <si>
    <t>Technical BA</t>
  </si>
  <si>
    <t>Environment Access &amp; DevOps Enablement</t>
  </si>
  <si>
    <t>Master – Environment Access &amp; DevOps Enablement</t>
  </si>
  <si>
    <t>Environment requirements; deployment requirements; access requirements; release process definitions; pipeline requirements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</si>
  <si>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Solution/platform: [DESCRIBE]. Teams needing environments/access: [DEV, TEST, VENDOR, SUPPORT]. Current DevOps maturity: [DESCRIBE OR 'UNKNOWN']. Release constraints: [CHANGE FREEZE WINDOWS, CAB REQUIREMENTS]. The audience for this output: Platform/DevOps engineers (build), security (approval), delivery teams (consumers).</t>
  </si>
  <si>
    <t>Define the requirements for environments, access, deployment and release processes and CI/CD enablement — answering who can access which environment, how the solution is deployed, and how releases are governed. Produce on request: (1) environment requirements (environment, purpose, users, data class allowed — e.g. masked only outside prod, prod-likeness, availability window); (2) access matrix (role vs environment vs permission level, with approval workflow and audit needs); (3) deployment and runtime topology requirements; (4) release process definition (stages, entry/exit criteria, approvals, rollback expectations); (5) CI/CD pipeline requirements (build, test gates, security scanning, deployment automation). Before drafting, ask me up to 5 clarifying questions about anything missing, then wait for my answers.</t>
  </si>
  <si>
    <t>Structured technical-BA writing: requirements numbered and testable, expressed as needs and constraints rather than design decisions (pre-solution) or as precise specifications (post-solution). Tables over prose where possible; expand acronyms on first use. Access requirements honour least privilege and segregation of duties; release requirements distinguish governance needs from tooling implementation.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</si>
  <si>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access row: "Role: Vendor developer | DEV: deploy | SIT: read | UAT: none | PROD: none | Justification: build responsibilities only | Approval: platform owner + security | Review: quarterly. Flag: vendor requested UAT deploy — segregation conflict with test independence, escalated."</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</si>
  <si>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Solution/platform: [DESCRIBE]. Teams needing environments/access: [DEV, TEST, VENDOR, SUPPORT]. Current DevOps maturity: [DESCRIBE OR 'UNKNOWN']. Release constraints: [CHANGE FREEZE WINDOWS, CAB REQUIREMENTS]. The audience for this output: Platform/DevOps engineers (build), security (approval), delivery teams (consumers).
# ACTION
Define the requirements for environments, access, deployment and release processes and CI/CD enablement — answering who can access which environment, how the solution is deployed, and how releases are governed. Produce on request: (1) environment requirements (environment, purpose, users, data class allowed — e.g. masked only outside prod, prod-likeness, availability window); (2) access matrix (role vs environment vs permission level, with approval workflow and audit needs); (3) deployment and runtime topology requirements; (4) release process definition (stages, entry/exit criteria, approvals, rollback expectations); (5) CI/CD pipeline requirements (build, test gates, security scanning, deployment automation). Before drafting, ask me up to 5 clarifying questions about anything missing, then wait for my answers.
# RESULT / FORMAT
Structured technical-BA writing: requirements numbered and testable, expressed as needs and constraints rather than design decisions (pre-solution) or as precise specifications (post-solution). Tables over prose where possible; expand acronyms on first use. Access requirements honour least privilege and segregation of duties; release requirements distinguish governance needs from tooling implementation.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access row: "Role: Vendor developer | DEV: deploy | SIT: read | UAT: none | PROD: none | Justification: build responsibilities only | Approval: platform owner + security | Review: quarterly. Flag: vendor requested UAT deploy — segregation conflict with test independence, escalated."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</si>
  <si>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TB-01-D1</t>
  </si>
  <si>
    <t>Environment &amp; Access Requirements Matrix</t>
  </si>
  <si>
    <t>Environment requirements; access requirements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</si>
  <si>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Environments planned: [LIST OR 'PROPOSE STANDARD SET']. Roles needing access: [LIST — INCLUDE VENDORS/CONTRACTORS]. Data sensitivity: [WHAT DATA APPEARS IN WHICH ENVIRONMENT]. The audience for this output: Platform engineers and security reviewers.</t>
  </si>
  <si>
    <t>Define the environment set and the role-based access matrix with approval and audit requirements. Draft both tables. Flag risky patterns explicitly (shared accounts, vendor admin access, prod data in test). Before drafting, ask me up to 5 clarifying questions about anything missing, then wait for my answers.</t>
  </si>
  <si>
    <t>Environment table: name; purpose; test types supported; data class permitted (flag: no unmasked personal/health data outside production); refresh cadence; prod-likeness. Access matrix: role vs environment with permission level (none/read/deploy/admin); justification; approval required; review cadence; segregation-of-duties conflicts flagged.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</si>
  <si>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environment row: "SIT | Purpose: system integration testing | Test types: interface, regression | Data: masked production subset (no unmasked personal or sensitive data) | Refresh: monthly | Prod-likeness: same integrations, 50% capacity."</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</si>
  <si>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Environments planned: [LIST OR 'PROPOSE STANDARD SET']. Roles needing access: [LIST — INCLUDE VENDORS/CONTRACTORS]. Data sensitivity: [WHAT DATA APPEARS IN WHICH ENVIRONMENT]. The audience for this output: Platform engineers and security reviewers.
# ACTION
Define the environment set and the role-based access matrix with approval and audit requirements. Draft both tables. Flag risky patterns explicitly (shared accounts, vendor admin access, prod data in test). Before drafting, ask me up to 5 clarifying questions about anything missing, then wait for my answers.
# RESULT / FORMAT
Environment table: name; purpose; test types supported; data class permitted (flag: no unmasked personal/health data outside production); refresh cadence; prod-likeness. Access matrix: role vs environment with permission level (none/read/deploy/admin); justification; approval required; review cadence; segregation-of-duties conflicts flagged.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environment row: "SIT | Purpose: system integration testing | Test types: interface, regression | Data: masked production subset (no unmasked personal or sensitive data) | Refresh: monthly | Prod-likeness: same integrations, 50% capacity."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</si>
  <si>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TB-01-D2</t>
  </si>
  <si>
    <t>Release Process &amp; CI/CD Pipeline Requirements</t>
  </si>
  <si>
    <t>Release process definitions; pipeline requirements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</si>
  <si>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Delivery cadence sought: [E.G. FORTNIGHTLY / ON-DEMAND]. Governance constraints: [CAB, CHANGE WINDOWS, SEGREGATION RULES]. Current tooling: [E.G. AZURE DEVOPS, GITHUB — OR 'TBD']. The audience for this output: DevOps engineers (implementation) and change governance (approval).</t>
  </si>
  <si>
    <t>Define release governance and CI/CD pipeline requirements that balance delivery speed with public-sector change control. Draft both. Note where a requirement trades speed against control and offer the option. Before drafting, ask me up to 5 clarifying questions about anything missing, then wait for my answers.</t>
  </si>
  <si>
    <t>Release process: stages from commit to production; entry/exit criteria per stage; approval points and who approves; rollback triggers and expectations; emergency release path. Pipeline requirements: numbered, tool-agnostic ('The pipeline shall block deployment when critical vulnerabilities are detected'), covering build, automated testing gates, security scanning, artefact integrity, deployment automation, audit logging.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</si>
  <si>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pipeline requirement: "PL-06: The pipeline shall block promotion to UAT when critical or high vulnerabilities are detected in dependency scanning, with an auditable override requiring security approval. PL-09: Every production deployment shall be traceable to an approved change record."</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</si>
  <si>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Delivery cadence sought: [E.G. FORTNIGHTLY / ON-DEMAND]. Governance constraints: [CAB, CHANGE WINDOWS, SEGREGATION RULES]. Current tooling: [E.G. AZURE DEVOPS, GITHUB — OR 'TBD']. The audience for this output: DevOps engineers (implementation) and change governance (approval).
# ACTION
Define release governance and CI/CD pipeline requirements that balance delivery speed with public-sector change control. Draft both. Note where a requirement trades speed against control and offer the option. Before drafting, ask me up to 5 clarifying questions about anything missing, then wait for my answers.
# RESULT / FORMAT
Release process: stages from commit to production; entry/exit criteria per stage; approval points and who approves; rollback triggers and expectations; emergency release path. Pipeline requirements: numbered, tool-agnostic ('The pipeline shall block deployment when critical vulnerabilities are detected'), covering build, automated testing gates, security scanning, artefact integrity, deployment automation, audit logging.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pipeline requirement: "PL-06: The pipeline shall block promotion to UAT when critical or high vulnerabilities are detected in dependency scanning, with an auditable override requiring security approval. PL-09: Every production deployment shall be traceable to an approved change record."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</si>
  <si>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TB-02-M</t>
  </si>
  <si>
    <t>Integration, Data &amp; Migration</t>
  </si>
  <si>
    <t>Master – Integration, Data &amp; Migration</t>
  </si>
  <si>
    <t>Interface specifications; integration mappings; migration requirements; transformation rules; data reconciliation requirements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</si>
  <si>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Systems in scope: [SOURCE AND TARGET SYSTEMS]. Integration/migration need: [DESCRIBE]. Data sensitivity: [PERSONAL/HEALTH DATA FLAGS]. Timing constraints: [CUTOVER WINDOWS, COEXISTENCE NEEDS]. The audience for this output: Integration designers, data engineers and migration teams; business data owners for validation.</t>
  </si>
  <si>
    <t>Define system integration, data movement and migration requirements: how data moves between systems, what transforms it needs, and how a migration is scoped, sequenced, validated and reconciled. Produce on request: (1) interface catalogue and specifications (interface, systems, direction, trigger, frequency/latency expectation, volumes, data payload, error handling, ownership); (2) source-to-target mapping with transformation rules; (3) migration requirements (scope catalogue, migrate/archive/retire decisions, sequencing and dependencies, cutover tolerance, volume/throughput expectations); (4) reconciliation and validation requirements (counts, balances, sampling, acceptance thresholds); (5) the business-level answers to design questions (sync vs async, big bang vs phased, where transformation sits) as an options analysis. Before drafting, ask me up to 5 clarifying questions about anything missing, then wait for my answers.</t>
  </si>
  <si>
    <t>Structured technical-BA writing: requirements numbered and testable, expressed as needs and constraints rather than design decisions (pre-solution) or as precise specifications (post-solution). Tables over prose where possible; expand acronyms on first use. Pre-design outputs capture business needs (timing expectations, consistency expectations, error-handling expectations) that answer design questions like sync-vs-async and big-bang-vs-phased; post-design outputs are precise specifications.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</si>
  <si>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interface row: "IF-03: Case management system → Payments engine | Direction: one-way | Trigger: weekly payment approval event | Latency: within 15 min of approval | Peak: 40k records Thursday run | Payload: payment instruction (case id, payee, amount, period) | Error expectation: failed instructions quarantined and reported to the payments team by 9am next business day; no silent drops."</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</si>
  <si>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Systems in scope: [SOURCE AND TARGET SYSTEMS]. Integration/migration need: [DESCRIBE]. Data sensitivity: [PERSONAL/HEALTH DATA FLAGS]. Timing constraints: [CUTOVER WINDOWS, COEXISTENCE NEEDS]. The audience for this output: Integration designers, data engineers and migration teams; business data owners for validation.
# ACTION
Define system integration, data movement and migration requirements: how data moves between systems, what transforms it needs, and how a migration is scoped, sequenced, validated and reconciled. Produce on request: (1) interface catalogue and specifications (interface, systems, direction, trigger, frequency/latency expectation, volumes, data payload, error handling, ownership); (2) source-to-target mapping with transformation rules; (3) migration requirements (scope catalogue, migrate/archive/retire decisions, sequencing and dependencies, cutover tolerance, volume/throughput expectations); (4) reconciliation and validation requirements (counts, balances, sampling, acceptance thresholds); (5) the business-level answers to design questions (sync vs async, big bang vs phased, where transformation sits) as an options analysis. Before drafting, ask me up to 5 clarifying questions about anything missing, then wait for my answers.
# RESULT / FORMAT
Structured technical-BA writing: requirements numbered and testable, expressed as needs and constraints rather than design decisions (pre-solution) or as precise specifications (post-solution). Tables over prose where possible; expand acronyms on first use. Pre-design outputs capture business needs (timing expectations, consistency expectations, error-handling expectations) that answer design questions like sync-vs-async and big-bang-vs-phased; post-design outputs are precise specifications.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interface row: "IF-03: Case management system → Payments engine | Direction: one-way | Trigger: weekly payment approval event | Latency: within 15 min of approval | Peak: 40k records Thursday run | Payload: payment instruction (case id, payee, amount, period) | Error expectation: failed instructions quarantined and reported to the payments team by 9am next business day; no silent drops."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</si>
  <si>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TB-02-D1</t>
  </si>
  <si>
    <t>Interface Specification</t>
  </si>
  <si>
    <t>Interface specifications; integration mappings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</si>
  <si>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Interface: [SOURCE SYSTEM] → [TARGET SYSTEM]. Business purpose: [WHY DATA MOVES]. Known behaviour: [TRIGGER, FREQUENCY, VOLUMES IF KNOWN]. The audience for this output: Integration designers and developers; reviewed by data owners.</t>
  </si>
  <si>
    <t>Draft a complete interface specification for designer/developer consumption. Draft the specification. Mark unknowns '[TBC — OWNER]' rather than inventing values, and list the questions that close them. Before drafting, ask me up to 5 clarifying questions about anything missing, then wait for my answers.</t>
  </si>
  <si>
    <t>Sections: purpose and business context; interaction model (trigger, direction, sync/async expectation with rationale, frequency, latency requirement); data payload with field-level source-to-target mapping and transformation rules; volumes (average/peak) and growth; error handling and retry expectations (what the business needs to happen on failure, including idempotency needs); monitoring and alerting needs; assumptions and open questions.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</si>
  <si>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mapping row: "Source: LEGACY.CUST.TRADING_NM (varchar 60) → Target: customer.trading_name (varchar 120) | Transform: trim, title-case, strip legacy '*' suffix flags into a separate status field | Rule ref: TR-11 | Notes: 3% of records exceed 60 chars and are truncated in legacy [DATA QUALITY FLAG]."</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</si>
  <si>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Interface: [SOURCE SYSTEM] → [TARGET SYSTEM]. Business purpose: [WHY DATA MOVES]. Known behaviour: [TRIGGER, FREQUENCY, VOLUMES IF KNOWN]. The audience for this output: Integration designers and developers; reviewed by data owners.
# ACTION
Draft a complete interface specification for designer/developer consumption. Draft the specification. Mark unknowns '[TBC — OWNER]' rather than inventing values, and list the questions that close them. Before drafting, ask me up to 5 clarifying questions about anything missing, then wait for my answers.
# RESULT / FORMAT
Sections: purpose and business context; interaction model (trigger, direction, sync/async expectation with rationale, frequency, latency requirement); data payload with field-level source-to-target mapping and transformation rules; volumes (average/peak) and growth; error handling and retry expectations (what the business needs to happen on failure, including idempotency needs); monitoring and alerting needs; assumptions and open questions.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mapping row: "Source: LEGACY.CUST.TRADING_NM (varchar 60) → Target: customer.trading_name (varchar 120) | Transform: trim, title-case, strip legacy '*' suffix flags into a separate status field | Rule ref: TR-11 | Notes: 3% of records exceed 60 chars and are truncated in legacy [DATA QUALITY FLAG]."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</si>
  <si>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TB-02-D2</t>
  </si>
  <si>
    <t>Migration Approach &amp; Reconciliation Requirements</t>
  </si>
  <si>
    <t>Migration requirements; data reconciliation requirements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</si>
  <si>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Migration: [SOURCE] → [TARGET]. Data in scope: [ENTITIES, VOLUMES, HISTORY DEPTH NEEDED]. Constraints: [CUTOVER WINDOW, COEXISTENCE, REGULATORY RETENTION]. The audience for this output: Migration lead and data engineers; business owners signing off data completeness.</t>
  </si>
  <si>
    <t>Define migration scope, approach considerations and the reconciliation requirements that prove the migration succeeded. Draft all sections. Call out the riskiest entities (quality, volume, transformation complexity) and why. Before drafting, ask me up to 5 clarifying questions about anything missing, then wait for my answers.</t>
  </si>
  <si>
    <t>Scope catalogue: entity; volume; migrate/archive/retire recommendation with rationale; quality concerns; retention obligation. Approach analysis: big bang vs phased vs parallel run — pros/cons against my constraints and a recommendation. Sequencing and dependency list. Reconciliation requirements: check; level (counts/financial totals/field-level sample); tolerance; timing; owner; evidence for sign-off.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</si>
  <si>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reconciliation row: "Check R-02: total approved case liability amounts by financial year, source vs target | Level: financial totals | Tolerance: $0 variance | Timing: post-load, pre-cutover sign-off | Owner: Finance data steward | Evidence: reconciliation report signed and attached to the cutover record."</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</si>
  <si>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Migration: [SOURCE] → [TARGET]. Data in scope: [ENTITIES, VOLUMES, HISTORY DEPTH NEEDED]. Constraints: [CUTOVER WINDOW, COEXISTENCE, REGULATORY RETENTION]. The audience for this output: Migration lead and data engineers; business owners signing off data completeness.
# ACTION
Define migration scope, approach considerations and the reconciliation requirements that prove the migration succeeded. Draft all sections. Call out the riskiest entities (quality, volume, transformation complexity) and why. Before drafting, ask me up to 5 clarifying questions about anything missing, then wait for my answers.
# RESULT / FORMAT
Scope catalogue: entity; volume; migrate/archive/retire recommendation with rationale; quality concerns; retention obligation. Approach analysis: big bang vs phased vs parallel run — pros/cons against my constraints and a recommendation. Sequencing and dependency list. Reconciliation requirements: check; level (counts/financial totals/field-level sample); tolerance; timing; owner; evidence for sign-off.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reconciliation row: "Check R-02: total approved case liability amounts by financial year, source vs target | Level: financial totals | Tolerance: $0 variance | Timing: post-load, pre-cutover sign-off | Owner: Finance data steward | Evidence: reconciliation report signed and attached to the cutover record."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</si>
  <si>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TB-03-M</t>
  </si>
  <si>
    <t>Operational Engineering &amp; Observability</t>
  </si>
  <si>
    <t>Master – Operational Engineering &amp; Observability</t>
  </si>
  <si>
    <t>Monitoring requirements; alerting requirements; event management; logging requirements; support models; operational dashboards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</si>
  <si>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System(s): [DESCRIBE]. Business criticality: [WHAT BREAKS FOR WHOM WHEN THIS FAILS]. Current tooling: [E.G. SPLUNK, SERVICENOW — OR 'TBD']. Known availability expectations: [PASTE OR 'TO BE DEFINED']. The audience for this output: Operations engineers, platform teams, service management; business owners validating targets.</t>
  </si>
  <si>
    <t>Define monitoring, logging, alerting and operational support requirements: what needs watching, what events matter, availability and resilience needs, DR/backup expectations, and performance/scalability requirements. Produce on request: (1) monitoring requirements (what to monitor, why it matters to the business, threshold, alert severity, response expectation); (2) logging and audit requirements (event, data captured, retention, privacy constraints on logged personal data); (3) availability and resilience requirements (uptime targets by business period, failure scenarios and tolerance); (4) DR and backup requirements (RTO/RPO per business function with justification, recovery scenarios); (5) performance and scalability requirements (load, peaks — e.g. seasonal volume spikes — growth, response-time targets); (6) operational dashboard definitions. Before drafting, ask me up to 5 clarifying questions about anything missing, then wait for my answers.</t>
  </si>
  <si>
    <t>Structured technical-BA writing: requirements numbered and testable, expressed as needs and constraints rather than design decisions (pre-solution) or as precise specifications (post-solution). Tables over prose where possible; expand acronyms on first use. Requirements derive from business impact: every alert traces to a business consequence and a response expectation; availability and RTO/RPO targets are business-justified, not aspirational.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</si>
  <si>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monitoring row: "Monitor: service request intake API availability | Business reason: primary intake channel — an outage creates compliance exposure | Signal: synthetic lodgement every 5 min | Threshold: 2 consecutive failures | Severity: P1, on-call platform engineer paged | Response: restore or invoke the phone-channel contingency within 30 min."</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</si>
  <si>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System(s): [DESCRIBE]. Business criticality: [WHAT BREAKS FOR WHOM WHEN THIS FAILS]. Current tooling: [E.G. SPLUNK, SERVICENOW — OR 'TBD']. Known availability expectations: [PASTE OR 'TO BE DEFINED']. The audience for this output: Operations engineers, platform teams, service management; business owners validating targets.
# ACTION
Define monitoring, logging, alerting and operational support requirements: what needs watching, what events matter, availability and resilience needs, DR/backup expectations, and performance/scalability requirements. Produce on request: (1) monitoring requirements (what to monitor, why it matters to the business, threshold, alert severity, response expectation); (2) logging and audit requirements (event, data captured, retention, privacy constraints on logged personal data); (3) availability and resilience requirements (uptime targets by business period, failure scenarios and tolerance); (4) DR and backup requirements (RTO/RPO per business function with justification, recovery scenarios); (5) performance and scalability requirements (load, peaks — e.g. seasonal volume spikes — growth, response-time targets); (6) operational dashboard definitions. Before drafting, ask me up to 5 clarifying questions about anything missing, then wait for my answers.
# RESULT / FORMAT
Structured technical-BA writing: requirements numbered and testable, expressed as needs and constraints rather than design decisions (pre-solution) or as precise specifications (post-solution). Tables over prose where possible; expand acronyms on first use. Requirements derive from business impact: every alert traces to a business consequence and a response expectation; availability and RTO/RPO targets are business-justified, not aspirational.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monitoring row: "Monitor: service request intake API availability | Business reason: primary intake channel — an outage creates compliance exposure | Signal: synthetic lodgement every 5 min | Threshold: 2 consecutive failures | Severity: P1, on-call platform engineer paged | Response: restore or invoke the phone-channel contingency within 30 min."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</si>
  <si>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TB-03-D1</t>
  </si>
  <si>
    <t>Monitoring, Logging &amp; Alerting Requirements</t>
  </si>
  <si>
    <t>Monitoring requirements; alerting requirements; logging requirements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</si>
  <si>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System and critical business processes it supports: [DESCRIBE]. Failure history/known risks: [NOTES]. Tooling: [E.G. SPLUNK]. The audience for this output: Operations engineers implementing; service management defining response.</t>
  </si>
  <si>
    <t>Define what must be monitored, logged and alerted, grounded in business impact. Draft the tables. Flag over-alerting risks and any log content that would breach privacy expectations. Before drafting, ask me up to 5 clarifying questions about anything missing, then wait for my answers.</t>
  </si>
  <si>
    <t>Monitoring table: item; business reason; metric/signal; threshold; alert severity; who is notified; expected response and timeframe. Logging table: event; data captured; retention period; access restrictions (flag personal or sensitive data in logs as a privacy risk); audit obligation served. Alert hygiene rules: no alert without an owner and an action.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</si>
  <si>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log row: "Event: case document viewed | Captured: user id, case id, document id, timestamp (no document content in logs) | Retention: 7 years [CONFIRM with Records] | Access: security team + audit only | Obligation served: privacy audit trail. Alert-hygiene example: 'disk &gt;80%' pages nobody — route to the weekly capacity report instead; alerts page only when a human must act now."</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</si>
  <si>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System and critical business processes it supports: [DESCRIBE]. Failure history/known risks: [NOTES]. Tooling: [E.G. SPLUNK]. The audience for this output: Operations engineers implementing; service management defining response.
# ACTION
Define what must be monitored, logged and alerted, grounded in business impact. Draft the tables. Flag over-alerting risks and any log content that would breach privacy expectations. Before drafting, ask me up to 5 clarifying questions about anything missing, then wait for my answers.
# RESULT / FORMAT
Monitoring table: item; business reason; metric/signal; threshold; alert severity; who is notified; expected response and timeframe. Logging table: event; data captured; retention period; access restrictions (flag personal or sensitive data in logs as a privacy risk); audit obligation served. Alert hygiene rules: no alert without an owner and an action.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log row: "Event: case document viewed | Captured: user id, case id, document id, timestamp (no document content in logs) | Retention: 7 years [CONFIRM with Records] | Access: security team + audit only | Obligation served: privacy audit trail. Alert-hygiene example: 'disk &gt;80%' pages nobody — route to the weekly capacity report instead; alerts page only when a human must act now."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</si>
  <si>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TB-03-D2</t>
  </si>
  <si>
    <t>Availability, DR &amp; Performance Requirements</t>
  </si>
  <si>
    <t>Availability requirements; DR/backup expectations; performance and scalability requirements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</si>
  <si>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Business functions supported: [LIST WITH CRITICALITY]. Usage profile: [USERS, PEAKS, SEASONALITY]. Existing SLAs or obligations: [PASTE OR 'NONE']. The audience for this output: Platform/infrastructure teams (design), business owners (target sign-off).</t>
  </si>
  <si>
    <t>Define availability, disaster recovery, backup and performance requirements with business justification. Ask me the impact-of-outage questions you need, then draft. Show the cost-vs-availability trade-off where targets look expensive. Before drafting, ask me up to 5 clarifying questions about anything missing, then wait for my answers.</t>
  </si>
  <si>
    <t>Availability: target per business function and time period (business hours vs after hours), justified by consequence of outage. DR: RTO and RPO per function with justification; recovery scenarios to test. Backup: frequency, retention, restore-test expectation. Performance: response-time targets per key transaction; throughput at peak; scalability expectation (growth, spike handling). Every number marked '[PROPOSED — VALIDATE WITH BUSINESS OWNER]' unless I supplied it.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</si>
  <si>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DR line: "Function: case payment processing | RTO: 4 business hours | RPO: 15 minutes | Justification: a missed Thursday payment run affects ~9,000 recipients dependent on that income — reputational and hardship impact | Test: annual failover exercise with payment file replay [PROPOSED — VALIDATE]."</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</si>
  <si>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Business functions supported: [LIST WITH CRITICALITY]. Usage profile: [USERS, PEAKS, SEASONALITY]. Existing SLAs or obligations: [PASTE OR 'NONE']. The audience for this output: Platform/infrastructure teams (design), business owners (target sign-off).
# ACTION
Define availability, disaster recovery, backup and performance requirements with business justification. Ask me the impact-of-outage questions you need, then draft. Show the cost-vs-availability trade-off where targets look expensive. Before drafting, ask me up to 5 clarifying questions about anything missing, then wait for my answers.
# RESULT / FORMAT
Availability: target per business function and time period (business hours vs after hours), justified by consequence of outage. DR: RTO and RPO per function with justification; recovery scenarios to test. Backup: frequency, retention, restore-test expectation. Performance: response-time targets per key transaction; throughput at peak; scalability expectation (growth, spike handling). Every number marked '[PROPOSED — VALIDATE WITH BUSINESS OWNER]' unless I supplied it.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DR line: "Function: case payment processing | RTO: 4 business hours | RPO: 15 minutes | Justification: a missed Thursday payment run affects ~9,000 recipients dependent on that income — reputational and hardship impact | Test: annual failover exercise with payment file replay [PROPOSED — VALIDATE]."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</si>
  <si>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TB-04-M</t>
  </si>
  <si>
    <t>Platform Design &amp; Infrastructure</t>
  </si>
  <si>
    <t>Master – Platform Design &amp; Infrastructure Analysis</t>
  </si>
  <si>
    <t>Platform architecture inputs; environment topology definitions; hosting &amp; deployment model definitions; compute &amp; workload placement; network topology &amp; connectivity specifications; licensing &amp; consumption model definitions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</si>
  <si>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Platform/solution: [DESCRIBE]. Workload profile: [TRANSACTION VOLUMES, CONCURRENCY, PROCESSING TYPES, VARIABILITY]. Constraints: data residency obligations; [OTHER — EXISTING CLOUD AGREEMENTS, ON-PREM DEPENDENCIES, BUDGET]. The audience for this output: Platform architects and infrastructure engineers (decisions), finance (consumption models), governance (residency and compliance).</t>
  </si>
  <si>
    <t>Provide the analysis that platform design decisions need: hosting model, environment strategy, compute and workload placement, network topology and connectivity, licensing and consumption modelling, and solution dependencies. Produce on request: (1) hosting model analysis (cloud/on-prem/hybrid options against data sensitivity, dependencies, latency, residency, continuity); (2) environment strategy (environments needed, prod-likeness, data per environment, footprint vs cost); (3) compute and workload placement inputs (volumes, concurrency, processing types, variability → placement considerations); (4) network topology and connectivity requirements (communication paths, internal/external access, partner connectivity, security boundary expectations); (5) licensing and consumption model (drivers, scaling scenarios, cost forecast structure); (6) dependency register with contract/vendor constraints. Before drafting, ask me up to 5 clarifying questions about anything missing, then wait for my answers.</t>
  </si>
  <si>
    <t>Structured technical-BA writing: requirements numbered and testable, expressed as needs and constraints rather than design decisions (pre-solution) or as precise specifications (post-solution). Tables over prose where possible; expand acronyms on first use. Capture the business inputs that answer design questions ('should this be serverless or containerised', 'full cloud vs hybrid', 'can data and processing stay in the required jurisdiction') rather than making architecture decisions; present options with trade-offs for architects to decide.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</si>
  <si>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placement input: "Workload: annual billing batch | Volume: 280k accounts over 6 nights, CPU-heavy calculation | Variability: annual peak (July), quiet the rest of the year | Placement consideration: burstable/scheduled compute rather than year-round dedicated capacity; feeds the design question 'dedicated batch compute vs autoscaling'."</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</si>
  <si>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Platform/solution: [DESCRIBE]. Workload profile: [TRANSACTION VOLUMES, CONCURRENCY, PROCESSING TYPES, VARIABILITY]. Constraints: data residency obligations; [OTHER — EXISTING CLOUD AGREEMENTS, ON-PREM DEPENDENCIES, BUDGET]. The audience for this output: Platform architects and infrastructure engineers (decisions), finance (consumption models), governance (residency and compliance).
# ACTION
Provide the analysis that platform design decisions need: hosting model, environment strategy, compute and workload placement, network topology and connectivity, licensing and consumption modelling, and solution dependencies. Produce on request: (1) hosting model analysis (cloud/on-prem/hybrid options against data sensitivity, dependencies, latency, residency, continuity); (2) environment strategy (environments needed, prod-likeness, data per environment, footprint vs cost); (3) compute and workload placement inputs (volumes, concurrency, processing types, variability → placement considerations); (4) network topology and connectivity requirements (communication paths, internal/external access, partner connectivity, security boundary expectations); (5) licensing and consumption model (drivers, scaling scenarios, cost forecast structure); (6) dependency register with contract/vendor constraints. Before drafting, ask me up to 5 clarifying questions about anything missing, then wait for my answers.
# RESULT / FORMAT
Structured technical-BA writing: requirements numbered and testable, expressed as needs and constraints rather than design decisions (pre-solution) or as precise specifications (post-solution). Tables over prose where possible; expand acronyms on first use. Capture the business inputs that answer design questions ('should this be serverless or containerised', 'full cloud vs hybrid', 'can data and processing stay in the required jurisdiction') rather than making architecture decisions; present options with trade-offs for architects to decide.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placement input: "Workload: annual billing batch | Volume: 280k accounts over 6 nights, CPU-heavy calculation | Variability: annual peak (July), quiet the rest of the year | Placement consideration: burstable/scheduled compute rather than year-round dedicated capacity; feeds the design question 'dedicated batch compute vs autoscaling'."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</si>
  <si>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TB-04-D1</t>
  </si>
  <si>
    <t>Hosting Model &amp; Data Residency Analysis</t>
  </si>
  <si>
    <t>Hosting &amp; deployment model definitions; data residency compliance inputs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</si>
  <si>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[DESCRIBE]. Data involved: [CLASSIFICATIONS INCL. PERSONAL/HEALTH]. Dependencies: [ON-PREM SYSTEMS, SaaS, PARTNERS]. Latency-sensitive interactions: [LIST OR 'NONE KNOWN']. The audience for this output: Architects (decision), privacy and security (residency confirmation).</t>
  </si>
  <si>
    <t>Analyse hosting options (full cloud / hybrid / on-prem) and establish the data residency position. Draft the analysis. Every residency claim about a vendor/cloud service is marked '[VERIFY WITH VENDOR DOCUMENTATION]'. Before drafting, ask me up to 5 clarifying questions about anything missing, then wait for my answers.</t>
  </si>
  <si>
    <t>Inputs summary: data sensitivity map; dependency map; latency needs; continuity expectations; regulatory/residency constraints. Options analysis: hosting model vs criteria (residency compliance, dependency fit, latency, resilience, cost profile, exit risk) with commentary. Residency assessment: where data is stored, processed and backed up per option; cross-border touchpoints (including vendor support access from offshore) flagged for privacy review.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</si>
  <si>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residency line: "Option A (SaaS): primary data in Sydney region, backups replicated to Melbourne — compliant; vendor L2 support follows-the-sun from Manila with screen-share access to production data — cross-border access touchpoint, flag for privacy review [VERIFY WITH VENDOR DOCUMENTATION]."</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</si>
  <si>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[DESCRIBE]. Data involved: [CLASSIFICATIONS INCL. PERSONAL/HEALTH]. Dependencies: [ON-PREM SYSTEMS, SaaS, PARTNERS]. Latency-sensitive interactions: [LIST OR 'NONE KNOWN']. The audience for this output: Architects (decision), privacy and security (residency confirmation).
# ACTION
Analyse hosting options (full cloud / hybrid / on-prem) and establish the data residency position. Draft the analysis. Every residency claim about a vendor/cloud service is marked '[VERIFY WITH VENDOR DOCUMENTATION]'. Before drafting, ask me up to 5 clarifying questions about anything missing, then wait for my answers.
# RESULT / FORMAT
Inputs summary: data sensitivity map; dependency map; latency needs; continuity expectations; regulatory/residency constraints. Options analysis: hosting model vs criteria (residency compliance, dependency fit, latency, resilience, cost profile, exit risk) with commentary. Residency assessment: where data is stored, processed and backed up per option; cross-border touchpoints (including vendor support access from offshore) flagged for privacy review.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residency line: "Option A (SaaS): primary data in Sydney region, backups replicated to Melbourne — compliant; vendor L2 support follows-the-sun from Manila with screen-share access to production data — cross-border access touchpoint, flag for privacy review [VERIFY WITH VENDOR DOCUMENTATION]."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</si>
  <si>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TB-04-D2</t>
  </si>
  <si>
    <t>Licensing &amp; Consumption Model</t>
  </si>
  <si>
    <t>Licensing &amp; consumption model definitions; cost forecast structure</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</si>
  <si>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Products/platforms to model: [LIST WITH LICENSING BASIS IF KNOWN — PER USER, PER CORE, CONSUMPTION]. Usage drivers: [USERS, TRANSACTIONS, STORAGE, GROWTH]. Contract constraints: [TERM, COMMITTED SPEND, TRUE-UP RULES]. The audience for this output: Finance and procurement (forecasting), architects (design-to-cost).</t>
  </si>
  <si>
    <t>Model how licensing and consumption costs scale with usage so commercial decisions and forecasts are grounded. Draft the model. Never invent dollar figures; build the structure and flag every input finance must supply. Before drafting, ask me up to 5 clarifying questions about anything missing, then wait for my answers.</t>
  </si>
  <si>
    <t>Per product: licensing construct explained plainly; cost drivers; scaling behaviour (linear/step/tiered); scenario table (current, +25% growth, +50%, peak) with formula structure rather than invented unit prices — use [UNIT PRICE] placeholders; watch-outs (true-up exposure, egress fees, minimum commitments, licence audits). Consolidated forecast structure ready for finance to populate.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</si>
  <si>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scenario row: "Product: document AI service | Construct: consumption (per 1,000 pages) | Current: 4.2M pages/yr → [UNIT PRICE] × 4,200 | +25% growth: 5.25M pages | Step risk: tier boundary at 5M pages — unit price drops 12% above it, consider committed tier | Watch-out: re-processing during migration counts as consumption (est. one-off 1.8M pages)."</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</si>
  <si>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Products/platforms to model: [LIST WITH LICENSING BASIS IF KNOWN — PER USER, PER CORE, CONSUMPTION]. Usage drivers: [USERS, TRANSACTIONS, STORAGE, GROWTH]. Contract constraints: [TERM, COMMITTED SPEND, TRUE-UP RULES]. The audience for this output: Finance and procurement (forecasting), architects (design-to-cost).
# ACTION
Model how licensing and consumption costs scale with usage so commercial decisions and forecasts are grounded. Draft the model. Never invent dollar figures; build the structure and flag every input finance must supply. Before drafting, ask me up to 5 clarifying questions about anything missing, then wait for my answers.
# RESULT / FORMAT
Per product: licensing construct explained plainly; cost drivers; scaling behaviour (linear/step/tiered); scenario table (current, +25% growth, +50%, peak) with formula structure rather than invented unit prices — use [UNIT PRICE] placeholders; watch-outs (true-up exposure, egress fees, minimum commitments, licence audits). Consolidated forecast structure ready for finance to populate.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scenario row: "Product: document AI service | Construct: consumption (per 1,000 pages) | Current: 4.2M pages/yr → [UNIT PRICE] × 4,200 | +25% growth: 5.25M pages | Step risk: tier boundary at 5M pages — unit price drops 12% above it, consider committed tier | Watch-out: re-processing during migration counts as consumption (est. one-off 1.8M pages)."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</si>
  <si>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TB-05-M</t>
  </si>
  <si>
    <t>Security, Privacy &amp; Compliance</t>
  </si>
  <si>
    <t>Master – Security, Privacy &amp; Compliance Analysis</t>
  </si>
  <si>
    <t>Security requirements; privacy assessments; compliance controls; information classification assessments; audit evidence</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</si>
  <si>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[DESCRIBE, INCLUDING DATA TOUCHED AND USER POPULATIONS]. Obligations: applicable privacy legislation, any additional legislation covering sensitive information, information security standards, and my organisation's security policies; [OTHERS]. Risk profile: [KNOWN CONCERNS]. The audience for this output: Security architects, privacy officer, compliance and audit; delivery team implementing controls.</t>
  </si>
  <si>
    <t>Ensure the solution meets security, privacy and regulatory obligations: security requirements, access management and RBAC, identity and trust, data sovereignty, privacy assessment inputs and compliance controls with audit evidence. Produce on request: (1) information classification assessment (data element, classification, handling requirements); (2) security requirements (authentication incl. SSO/MFA needs, authorisation, encryption at rest/in transit, logging/audit, vulnerability management); (3) RBAC matrix (role vs function vs permission with least-privilege and segregation-of-duties checks); (4) privacy assessment inputs (data flows, purposes, consent basis, retention, disclosure, cross-border touchpoints) structured for a PIA; (5) compliance controls mapping (obligation → control → evidence) for audit. Before drafting, ask me up to 5 clarifying questions about anything missing, then wait for my answers.</t>
  </si>
  <si>
    <t>Structured technical-BA writing: requirements numbered and testable, expressed as needs and constraints rather than design decisions (pre-solution) or as precise specifications (post-solution). Tables over prose where possible; expand acronyms on first use. Frame requirements from obligations ('to satisfy information-security standard element X, the solution shall...'). Never present analysis as legal advice — outputs support, not replace, security and privacy specialist review.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</si>
  <si>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requirement: "SEC-04: All user access shall be via corporate SSO with MFA; no local accounts. SEC-11: Personal and sensitive information shall be encrypted at rest (AES-256) and in transit (TLS 1.2+). RBAC example row: Role: Case Officer | View case: assigned team only | Approve payment: no (segregation: approval sits with the Team Leader)."</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</si>
  <si>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[DESCRIBE, INCLUDING DATA TOUCHED AND USER POPULATIONS]. Obligations: applicable privacy legislation, any additional legislation covering sensitive information, information security standards, and my organisation's security policies; [OTHERS]. Risk profile: [KNOWN CONCERNS]. The audience for this output: Security architects, privacy officer, compliance and audit; delivery team implementing controls.
# ACTION
Ensure the solution meets security, privacy and regulatory obligations: security requirements, access management and RBAC, identity and trust, data sovereignty, privacy assessment inputs and compliance controls with audit evidence. Produce on request: (1) information classification assessment (data element, classification, handling requirements); (2) security requirements (authentication incl. SSO/MFA needs, authorisation, encryption at rest/in transit, logging/audit, vulnerability management); (3) RBAC matrix (role vs function vs permission with least-privilege and segregation-of-duties checks); (4) privacy assessment inputs (data flows, purposes, consent basis, retention, disclosure, cross-border touchpoints) structured for a PIA; (5) compliance controls mapping (obligation → control → evidence) for audit. Before drafting, ask me up to 5 clarifying questions about anything missing, then wait for my answers.
# RESULT / FORMAT
Structured technical-BA writing: requirements numbered and testable, expressed as needs and constraints rather than design decisions (pre-solution) or as precise specifications (post-solution). Tables over prose where possible; expand acronyms on first use. Frame requirements from obligations ('to satisfy information-security standard element X, the solution shall...'). Never present analysis as legal advice — outputs support, not replace, security and privacy specialist review.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requirement: "SEC-04: All user access shall be via corporate SSO with MFA; no local accounts. SEC-11: Personal and sensitive information shall be encrypted at rest (AES-256) and in transit (TLS 1.2+). RBAC example row: Role: Case Officer | View case: assigned team only | Approve payment: no (segregation: approval sits with the Team Leader)."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</si>
  <si>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TB-05-D1</t>
  </si>
  <si>
    <t>Security Requirements &amp; RBAC Matrix</t>
  </si>
  <si>
    <t>Security requirements; RBAC/IAM inputs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</si>
  <si>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and users: [DESCRIBE — INTERNAL, AGENTS, EXTERNAL USERS]. Functions/screens/data: [LIST KEY FUNCTIONS]. Identity landscape: [E.G. ENTRA ID SSO, MFA POLICY — OR 'TBD']. The audience for this output: Security architects (review), engineers (build), business owners (role sign-off).</t>
  </si>
  <si>
    <t>Draft the security requirements and role-based access matrix for the solution. Draft requirements and matrix. Flag every place where my function list was too coarse to set permissions safely. Before drafting, ask me up to 5 clarifying questions about anything missing, then wait for my answers.</t>
  </si>
  <si>
    <t>Security requirements numbered by domain: identity and authentication (SSO, MFA, session rules); authorisation; data protection (encryption at rest/in transit, masking); auditability (who did what when, tamper resistance); vulnerability and patching expectations. RBAC matrix: role vs function with permission (none/view/create/update/approve); least-privilege justification per elevated permission; segregation-of-duties conflicts flagged (e.g. same role raising and approving).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</si>
  <si>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SoD flag: "Conflict: 'Finance Officer' role can both create and approve a payee bank detail change — fraud risk. Recommendation: split into maintain-payee and approve-payee roles; approval requires different user; both actions audit-logged."</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</si>
  <si>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and users: [DESCRIBE — INTERNAL, AGENTS, EXTERNAL USERS]. Functions/screens/data: [LIST KEY FUNCTIONS]. Identity landscape: [E.G. ENTRA ID SSO, MFA POLICY — OR 'TBD']. The audience for this output: Security architects (review), engineers (build), business owners (role sign-off).
# ACTION
Draft the security requirements and role-based access matrix for the solution. Draft requirements and matrix. Flag every place where my function list was too coarse to set permissions safely. Before drafting, ask me up to 5 clarifying questions about anything missing, then wait for my answers.
# RESULT / FORMAT
Security requirements numbered by domain: identity and authentication (SSO, MFA, session rules); authorisation; data protection (encryption at rest/in transit, masking); auditability (who did what when, tamper resistance); vulnerability and patching expectations. RBAC matrix: role vs function with permission (none/view/create/update/approve); least-privilege justification per elevated permission; segregation-of-duties conflicts flagged (e.g. same role raising and approving).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SoD flag: "Conflict: 'Finance Officer' role can both create and approve a payee bank detail change — fraud risk. Recommendation: split into maintain-payee and approve-payee roles; approval requires different user; both actions audit-logged."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</si>
  <si>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TB-05-D2</t>
  </si>
  <si>
    <t>Privacy Impact Assessment (PIA) Input Pack</t>
  </si>
  <si>
    <t>Privacy assessments; information classification assessments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</si>
  <si>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and data flows: [DESCRIBE WHAT PERSONAL/HEALTH INFORMATION IS COLLECTED, USED, STORED, DISCLOSED]. Existing PIA or privacy advice: [PASTE OR 'NONE']. The audience for this output: Privacy officer (assessment), project (remediation planning).</t>
  </si>
  <si>
    <t>Assemble the structured inputs a privacy officer needs to complete a PIA efficiently. Draft the pack. List the questions only the privacy officer or legal can answer, separately from factual gaps I can close. Before drafting, ask me up to 5 clarifying questions about anything missing, then wait for my answers.</t>
  </si>
  <si>
    <t>Sections: data inventory (element, classification incl. health information flag, source, purpose); data flow narrative (collection → use → storage → disclosure → disposal) with a Mermaid data-flow diagram; purposes and legal basis as understood (marked for privacy officer confirmation); retention and disposal; disclosures and third parties (including cloud/vendor access, offshore support); individual rights handling (access, correction); risks identified with proposed mitigations.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</si>
  <si>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inventory row: "Element: professional assessment report | Classification: sensitive personal information | Source: third-party professional, supplied by the individual | Purpose: eligibility assessment for payments | Storage: case management system, contracted region | Disclosure: authorised delivery partners; other parties see a summary only | Retention: [RECORDS SCHEDULE REF] | Risk: the full report is visible to all parties in the current design — proposed mitigation: summary-only view."</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</si>
  <si>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Solution and data flows: [DESCRIBE WHAT PERSONAL/HEALTH INFORMATION IS COLLECTED, USED, STORED, DISCLOSED]. Existing PIA or privacy advice: [PASTE OR 'NONE']. The audience for this output: Privacy officer (assessment), project (remediation planning).
# ACTION
Assemble the structured inputs a privacy officer needs to complete a PIA efficiently. Draft the pack. List the questions only the privacy officer or legal can answer, separately from factual gaps I can close. Before drafting, ask me up to 5 clarifying questions about anything missing, then wait for my answers.
# RESULT / FORMAT
Sections: data inventory (element, classification incl. health information flag, source, purpose); data flow narrative (collection → use → storage → disclosure → disposal) with a Mermaid data-flow diagram; purposes and legal basis as understood (marked for privacy officer confirmation); retention and disposal; disclosures and third parties (including cloud/vendor access, offshore support); individual rights handling (access, correction); risks identified with proposed mitigations.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inventory row: "Element: professional assessment report | Classification: sensitive personal information | Source: third-party professional, supplied by the individual | Purpose: eligibility assessment for payments | Storage: case management system, contracted region | Disclosure: authorised delivery partners; other parties see a summary only | Retention: [RECORDS SCHEDULE REF] | Risk: the full report is visible to all parties in the current design — proposed mitigation: summary-only view."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</si>
  <si>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TB-06-M</t>
  </si>
  <si>
    <t>Service &amp; Operational Readiness</t>
  </si>
  <si>
    <t>Master – Service &amp; Operational Readiness</t>
  </si>
  <si>
    <t>Support procedures; service transition assessments; support readiness checklists; service models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</si>
  <si>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Service going live: [DESCRIBE SYSTEM/PLATFORM]. Support landscape: [INTERNAL TEAMS, VENDORS, SERVICE DESK TOOL e.g. ServiceNow]. Go-live: [DATE]. Vendor contracts: [SUPPORT SCOPE IF KNOWN]. The audience for this output: Service management, support teams, vendors and the service transition approver.</t>
  </si>
  <si>
    <t>Ensure the system, network and platform have an operational support model and are ready for production: support models, SLAs/OLAs, incident and event management, vendor responsibilities, environment governance and handover. Produce on request: (1) support model (L1-L3 responsibilities, escalation paths, hours, incident vs request flows, ITSM tool integration needs); (2) SLA and OLA definitions (service, measure, target, measurement method, reporting); (3) vendor responsibility RACI with escalation and contract reference points; (4) service transition assessment (criteria, evidence, gaps, risk rating); (5) support readiness checklist and handover pack contents (procedures, known errors, FAQs, training). Before drafting, ask me up to 5 clarifying questions about anything missing, then wait for my answers.</t>
  </si>
  <si>
    <t>Structured technical-BA writing: requirements numbered and testable, expressed as needs and constraints rather than design decisions (pre-solution) or as precise specifications (post-solution). Tables over prose where possible; expand acronyms on first use. Support model expressed as who does what at L1/L2/L3 with unambiguous boundaries; SLAs measurable; readiness items verifiable with evidence.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</si>
  <si>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SLA row: "Service: service request portal | Measure: availability, business hours (7am–7pm Mon–Sat) | Target: 99.5% monthly | Measurement: synthetic monitoring, excludes approved change windows | Reporting: monthly service review. Backing OLA: platform team restores hosting within 2 hours (P1)."</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</si>
  <si>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Service going live: [DESCRIBE SYSTEM/PLATFORM]. Support landscape: [INTERNAL TEAMS, VENDORS, SERVICE DESK TOOL e.g. ServiceNow]. Go-live: [DATE]. Vendor contracts: [SUPPORT SCOPE IF KNOWN]. The audience for this output: Service management, support teams, vendors and the service transition approver.
# ACTION
Ensure the system, network and platform have an operational support model and are ready for production: support models, SLAs/OLAs, incident and event management, vendor responsibilities, environment governance and handover. Produce on request: (1) support model (L1-L3 responsibilities, escalation paths, hours, incident vs request flows, ITSM tool integration needs); (2) SLA and OLA definitions (service, measure, target, measurement method, reporting); (3) vendor responsibility RACI with escalation and contract reference points; (4) service transition assessment (criteria, evidence, gaps, risk rating); (5) support readiness checklist and handover pack contents (procedures, known errors, FAQs, training). Before drafting, ask me up to 5 clarifying questions about anything missing, then wait for my answers.
# RESULT / FORMAT
Structured technical-BA writing: requirements numbered and testable, expressed as needs and constraints rather than design decisions (pre-solution) or as precise specifications (post-solution). Tables over prose where possible; expand acronyms on first use. Support model expressed as who does what at L1/L2/L3 with unambiguous boundaries; SLAs measurable; readiness items verifiable with evidence.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SLA row: "Service: service request portal | Measure: availability, business hours (7am–7pm Mon–Sat) | Target: 99.5% monthly | Measurement: synthetic monitoring, excludes approved change windows | Reporting: monthly service review. Backing OLA: platform team restores hosting within 2 hours (P1)."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</si>
  <si>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TB-06-D1</t>
  </si>
  <si>
    <t>Support Model &amp; SLA/OLA Definitions</t>
  </si>
  <si>
    <t>Service models; SLA and OLA definitions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</si>
  <si>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Service: [DESCRIBE]. Teams and vendors involved: [LIST WITH CURRENT RESPONSIBILITIES]. Business hours and criticality: [WHEN MUST IT WORK, IMPACT OF OUTAGE]. The audience for this output: Service management (ownership), vendors (agreement), business (expectations).</t>
  </si>
  <si>
    <t>Define the L1-L3 support model and the SLA/OLA set for the service. Draft the model and tables. Mark targets '[PROPOSED — VALIDATE]' and flag SLA/OLA mismatches. Before drafting, ask me up to 5 clarifying questions about anything missing, then wait for my answers.</t>
  </si>
  <si>
    <t>Support model: tier; owner (team/vendor); responsibilities; what escalates and when; hours; tooling (ITSM queues/assignment groups). Incident severity definitions with business-impact anchors and target response/restore per severity. SLA table: service; measure; target; measurement method; exclusions; reporting cadence. OLA table for internal dependencies underpinning each SLA. Gaps where a vendor contract does not back an SLA are flagged.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</si>
  <si>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severity anchor: "Sev 1: no customer can lodge a service request, or the payment run is at risk — response 15 min, restore target 4 hrs, exec comms hourly. Sev 3: single-user or cosmetic issue with a work-around — response 1 business day."</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</si>
  <si>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Service: [DESCRIBE]. Teams and vendors involved: [LIST WITH CURRENT RESPONSIBILITIES]. Business hours and criticality: [WHEN MUST IT WORK, IMPACT OF OUTAGE]. The audience for this output: Service management (ownership), vendors (agreement), business (expectations).
# ACTION
Define the L1-L3 support model and the SLA/OLA set for the service. Draft the model and tables. Mark targets '[PROPOSED — VALIDATE]' and flag SLA/OLA mismatches. Before drafting, ask me up to 5 clarifying questions about anything missing, then wait for my answers.
# RESULT / FORMAT
Support model: tier; owner (team/vendor); responsibilities; what escalates and when; hours; tooling (ITSM queues/assignment groups). Incident severity definitions with business-impact anchors and target response/restore per severity. SLA table: service; measure; target; measurement method; exclusions; reporting cadence. OLA table for internal dependencies underpinning each SLA. Gaps where a vendor contract does not back an SLA are flagged.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severity anchor: "Sev 1: no customer can lodge a service request, or the payment run is at risk — response 15 min, restore target 4 hrs, exec comms hourly. Sev 3: single-user or cosmetic issue with a work-around — response 1 business day."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</si>
  <si>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TB-06-D2</t>
  </si>
  <si>
    <t>Operational Readiness Checklist &amp; Handover Pack</t>
  </si>
  <si>
    <t>Support readiness checklists; handover pack; support procedures</t>
  </si>
  <si>
    <t>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Service: [DESCRIBE]. Receiving support teams: [LIST]. Go-live date: [DATE]. Known operational risks: [LIST]. The audience for this output: Service transition approver (gate), support teams (receivers).</t>
  </si>
  <si>
    <t>Produce the readiness checklist gating service transition and define the handover pack contents. Draft checklist and pack definition. Rank the items by 'pain if missing at 2am during a Sev-1' and say why. Before drafting, ask me up to 5 clarifying questions about anything missing, then wait for my answers.</t>
  </si>
  <si>
    <t>Checklist grouped: support model in place; monitoring and alerting live; runbooks and procedures published; known errors and workarounds documented; access and licences provisioned; training delivered; DR tested; vendor support activated. Each item: verifiable criterion; owner; evidence; due date; status. Handover pack: document; purpose; author; acceptance criterion for the receiving team.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</si>
  <si>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checklist row: "Item: known errors documented | Criterion: all Sev 2+ defects deferred to post-go-live have a knowledge article with work-around, linked in ServiceNow | Owner: Support Transition Lead | Evidence: article list export | Due: go-live minus 5 days. (2am Sev-1 pain rank: #1 — without these, L1 escalates everything.)"</t>
  </si>
  <si>
    <t># CONTEXT
I am a technical business analyst (Technical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Service: [DESCRIBE]. Receiving support teams: [LIST]. Go-live date: [DATE]. Known operational risks: [LIST]. The audience for this output: Service transition approver (gate), support teams (receivers).
# ACTION
Produce the readiness checklist gating service transition and define the handover pack contents. Draft checklist and pack definition. Rank the items by 'pain if missing at 2am during a Sev-1' and say why. Before drafting, ask me up to 5 clarifying questions about anything missing, then wait for my answers.
# RESULT / FORMAT
Checklist grouped: support model in place; monitoring and alerting live; runbooks and procedures published; known errors and workarounds documented; access and licences provisioned; training delivered; DR tested; vendor support activated. Each item: verifiable criterion; owner; evidence; due date; status. Handover pack: document; purpose; author; acceptance criterion for the receiving team.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checklist row: "Item: known errors documented | Criterion: all Sev 2+ defects deferred to post-go-live have a knowledge article with work-around, linked in ServiceNow | Owner: Support Transition Lead | Evidence: article list export | Due: go-live minus 5 days. (2am Sev-1 pain rank: #1 — without these, L1 escalates everything.)"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</si>
  <si>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AB-01-M</t>
  </si>
  <si>
    <t>Agile BA</t>
  </si>
  <si>
    <t>Agile Ceremony Facilitation &amp; Support</t>
  </si>
  <si>
    <t>Master – Agile Ceremony Facilitation &amp; Support</t>
  </si>
  <si>
    <t>Refinement Session Outputs; Sprint Planning Inputs; Showcase Materials; Retrospective Actions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</si>
  <si>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Ceremony being supported: [REFINEMENT / SPRINT PLANNING / SHOWCASE / RETROSPECTIVE]. The audience for this output: The squad (developers, testers, product owner) and attending stakeholders.</t>
  </si>
  <si>
    <t>Support and contribute to sprint ceremonies so the squad stays aligned and informed: prepare refinement sessions, support sprint planning and goal setting, and support showcases and retrospectives. Produce on request: (1) refinement session prep (candidate stories with open questions, assumptions and dependency notes; DoR check per story); (2) sprint planning inputs (prioritised backlog summary, capacity check, draft sprint goal options); (3) showcase pack (storyboard, demo scenarios in business language, anticipated questions); (4) retrospective support (theme analysis of my notes, candidate actions with owners, follow-through check on last retro's actions).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</si>
  <si>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Ceremony materials are working artefacts: short, scannable, timeboxed agendas; questions framed to drive decisions in the session, not afterwards.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</si>
  <si>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refinement item: "ST-214 'Flag expiring documents': DoR — acceptance criteria MISSING; Open question: does 'expiring' mean 14 or 28 days (blocks test design — ask the product owner); Assumption: worklist badge only, no email; Dependency: document expiry date reliably populated (data quality check DQ-7)."</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</si>
  <si>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Ceremony being supported: [REFINEMENT / SPRINT PLANNING / SHOWCASE / RETROSPECTIVE]. The audience for this output: The squad (developers, testers, product owner) and attending stakeholders.
# ACTION
Support and contribute to sprint ceremonies so the squad stays aligned and informed: prepare refinement sessions, support sprint planning and goal setting, and support showcases and retrospectives. Produce on request: (1) refinement session prep (candidate stories with open questions, assumptions and dependency notes; DoR check per story); (2) sprint planning inputs (prioritised backlog summary, capacity check, draft sprint goal options); (3) showcase pack (storyboard, demo scenarios in business language, anticipated questions); (4) retrospective support (theme analysis of my notes, candidate actions with owners, follow-through check on last retro's actions).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Ceremony materials are working artefacts: short, scannable, timeboxed agendas; questions framed to drive decisions in the session, not afterwards.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refinement item: "ST-214 'Flag expiring documents': DoR — acceptance criteria MISSING; Open question: does 'expiring' mean 14 or 28 days (blocks test design — ask the product owner); Assumption: worklist badge only, no email; Dependency: document expiry date reliably populated (data quality check DQ-7)."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</si>
  <si>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AB-01-D1</t>
  </si>
  <si>
    <t>Refinement Session Pack</t>
  </si>
  <si>
    <t>Refined User Stories; Updated Acceptance Criteria; Refinement Outcomes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</si>
  <si>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Candidate stories for refinement: [PASTE STORIES]. Session length: [DURATION]. The audience for this output: Squad members attending refinement; product owner deciding priorities.</t>
  </si>
  <si>
    <t>Prepare the refinement session so every minute goes to decisions, not reading. Draft the pack. Flag stories not worth refining yet (too vague, blocked) with what must happen first. Before drafting, ask me up to 5 clarifying questions about anything missing, then wait for my answers.</t>
  </si>
  <si>
    <t>Per story: one-line summary; DoR check (met / not met per criterion); open questions to resolve in session (each with why it blocks readiness); assumptions needing confirmation; dependencies. Session running order: stories sequenced by value of discussion, timeboxed. Parking-lot rules stated.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</si>
  <si>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running-order entry: "Slot 2 (15 min): ST-214 — highest discussion value: one blocking ambiguity ('expiring' window) that the PO can settle live; then criteria can be confirmed in-session and the story marked Ready."</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</si>
  <si>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Candidate stories for refinement: [PASTE STORIES]. Session length: [DURATION]. The audience for this output: Squad members attending refinement; product owner deciding priorities.
# ACTION
Prepare the refinement session so every minute goes to decisions, not reading. Draft the pack. Flag stories not worth refining yet (too vague, blocked) with what must happen first. Before drafting, ask me up to 5 clarifying questions about anything missing, then wait for my answers.
# RESULT / FORMAT
Per story: one-line summary; DoR check (met / not met per criterion); open questions to resolve in session (each with why it blocks readiness); assumptions needing confirmation; dependencies. Session running order: stories sequenced by value of discussion, timeboxed. Parking-lot rules stated.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running-order entry: "Slot 2 (15 min): ST-214 — highest discussion value: one blocking ambiguity ('expiring' window) that the PO can settle live; then criteria can be confirmed in-session and the story marked Ready."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</si>
  <si>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AB-01-D2</t>
  </si>
  <si>
    <t>Showcase &amp; Retrospective Pack</t>
  </si>
  <si>
    <t>Showcase Materials; Stakeholder Feedback Log; Retrospective Actions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</si>
  <si>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Sprint just completed: [WHAT WAS DELIVERED]. Showcase audience: [WHO ATTENDS]. Retro inputs: [PASTE TEAM NOTES / SURVEY IF ANY]. The audience for this output: Showcase: stakeholders and sponsor. Retro: the squad.</t>
  </si>
  <si>
    <t>Prepare the showcase narrative and turn retro inputs into actions that actually land. Draft both. In the retro analysis, distinguish what the squad controls from what needs escalation. Before drafting, ask me up to 5 clarifying questions about anything missing, then wait for my answers.</t>
  </si>
  <si>
    <t>Showcase: value-first storyboard (what changed for whom, then the demo scenes with business-language scenarios and data setup); feedback capture template. Retro: themes from my notes with supporting quotes; root cause per recurring theme (not symptoms); top 3 actions by impact-to-effort, each with owner and 'done means' criterion; status of last retro's actions.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</si>
  <si>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retro action: "Theme: stories bounced mid-sprint (3 this sprint, 2 last). Root cause: acceptance criteria agreed after start. Action: no story enters sprint without PO-confirmed criteria (DoR change), owner: BA, done-means: zero mid-sprint criteria changes next sprint."</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</si>
  <si>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Sprint just completed: [WHAT WAS DELIVERED]. Showcase audience: [WHO ATTENDS]. Retro inputs: [PASTE TEAM NOTES / SURVEY IF ANY]. The audience for this output: Showcase: stakeholders and sponsor. Retro: the squad.
# ACTION
Prepare the showcase narrative and turn retro inputs into actions that actually land. Draft both. In the retro analysis, distinguish what the squad controls from what needs escalation. Before drafting, ask me up to 5 clarifying questions about anything missing, then wait for my answers.
# RESULT / FORMAT
Showcase: value-first storyboard (what changed for whom, then the demo scenes with business-language scenarios and data setup); feedback capture template. Retro: themes from my notes with supporting quotes; root cause per recurring theme (not symptoms); top 3 actions by impact-to-effort, each with owner and 'done means' criterion; status of last retro's actions.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retro action: "Theme: stories bounced mid-sprint (3 this sprint, 2 last). Root cause: acceptance criteria agreed after start. Action: no story enters sprint without PO-confirmed criteria (DoR change), owner: BA, done-means: zero mid-sprint criteria changes next sprint."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</si>
  <si>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AB-02-M</t>
  </si>
  <si>
    <t>User Story Mapping &amp; Slicing</t>
  </si>
  <si>
    <t>Master – User Story Mapping &amp; Slicing</t>
  </si>
  <si>
    <t>Story Maps; Sliced User Stories; Acceptance Criteria; MVP/MMP Definitions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</si>
  <si>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Feature/journey in scope: [DESCRIBE THE USER JOURNEY OR FEATURE]. Personas: [LIST — e.g. case officer, customer, field officer]. The audience for this output: Squad and product owner; story map doubles as a stakeholder communication artefact.</t>
  </si>
  <si>
    <t>Decompose features into thin, valuable vertical slices: build story maps around the user journey, slice features vertically, define the MVP/MMP, and write acceptance criteria with concrete examples. Produce on request: (1) story map (backbone of user activities left-to-right, stories beneath by priority, walking skeleton marked); (2) slicing options for a feature (each slice: value delivered, what's deliberately excluded, dependency notes) with a recommended sequence; (3) MVP/MMP definition (in/out with rationale per item); (4) acceptance criteria with Given/When/Then plus concrete example data.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</si>
  <si>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Slices must be vertical (deliver end-to-end user value) — reject horizontal layer-splits (UI-only, database-only). Every slice independently releasable in principle.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</si>
  <si>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map fragment: backbone "Lodge request → Triage → Assign officer → Investigate → Close"; under 'Triage': "view new requests (skeleton) / auto-flag severity 1-2 (r2) / bulk re-queue (r3)".</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</si>
  <si>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Feature/journey in scope: [DESCRIBE THE USER JOURNEY OR FEATURE]. Personas: [LIST — e.g. case officer, customer, field officer]. The audience for this output: Squad and product owner; story map doubles as a stakeholder communication artefact.
# ACTION
Decompose features into thin, valuable vertical slices: build story maps around the user journey, slice features vertically, define the MVP/MMP, and write acceptance criteria with concrete examples. Produce on request: (1) story map (backbone of user activities left-to-right, stories beneath by priority, walking skeleton marked); (2) slicing options for a feature (each slice: value delivered, what's deliberately excluded, dependency notes) with a recommended sequence; (3) MVP/MMP definition (in/out with rationale per item); (4) acceptance criteria with Given/When/Then plus concrete example data.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Slices must be vertical (deliver end-to-end user value) — reject horizontal layer-splits (UI-only, database-only). Every slice independently releasable in principle.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map fragment: backbone "Lodge request → Triage → Assign officer → Investigate → Close"; under 'Triage': "view new requests (skeleton) / auto-flag severity 1-2 (r2) / bulk re-queue (r3)".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</si>
  <si>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AB-02-D1</t>
  </si>
  <si>
    <t>Story Map from a User Journey</t>
  </si>
  <si>
    <t>Story Maps; Walking Skeleton; Release Slices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</si>
  <si>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Journey description: [PASTE JOURNEY / PROCESS NOTES]. Personas: [LIST]. Releases planned: [N RELEASES OR 'PROPOSE']. The audience for this output: Squad (build sequencing) and stakeholders (scope conversations).</t>
  </si>
  <si>
    <t>Build the story map: backbone, stories, walking skeleton and release slices. Draft the map. List the assumptions you made about journey order and persona goals for me to verify. Before drafting, ask me up to 5 clarifying questions about anything missing, then wait for my answers.</t>
  </si>
  <si>
    <t>Backbone as ordered user activities (verb phrases, user's perspective); under each activity, stories ordered by necessity; walking skeleton row marked (thinnest end-to-end path); release slice lines with the value statement per release. Render as an indented text map plus a Mermaid diagram. Flag backbone gaps where my journey notes skipped steps.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</si>
  <si>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walking-skeleton note: "Skeleton path: lodge (web form, no attachments) → appears in triage queue → manual severity → assign. Excludes: attachments, auto-severity, alerts — the journey completes end-to-end, which is the skeleton test."</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</si>
  <si>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Journey description: [PASTE JOURNEY / PROCESS NOTES]. Personas: [LIST]. Releases planned: [N RELEASES OR 'PROPOSE']. The audience for this output: Squad (build sequencing) and stakeholders (scope conversations).
# ACTION
Build the story map: backbone, stories, walking skeleton and release slices. Draft the map. List the assumptions you made about journey order and persona goals for me to verify. Before drafting, ask me up to 5 clarifying questions about anything missing, then wait for my answers.
# RESULT / FORMAT
Backbone as ordered user activities (verb phrases, user's perspective); under each activity, stories ordered by necessity; walking skeleton row marked (thinnest end-to-end path); release slice lines with the value statement per release. Render as an indented text map plus a Mermaid diagram. Flag backbone gaps where my journey notes skipped steps.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walking-skeleton note: "Skeleton path: lodge (web form, no attachments) → appears in triage queue → manual severity → assign. Excludes: attachments, auto-severity, alerts — the journey completes end-to-end, which is the skeleton test."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</si>
  <si>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AB-02-D2</t>
  </si>
  <si>
    <t>Feature Slicing &amp; MVP Definition</t>
  </si>
  <si>
    <t>Sliced User Stories; MVP/MMP Definitions; Slice Sequencing</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</si>
  <si>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Feature to slice: [PASTE FEATURE + REQUIREMENTS/RULES]. Constraints: [DEADLINE, DEPENDENCIES, COMPLIANCE MUSTS]. The audience for this output: Product owner (scope decisions) and squad (build).</t>
  </si>
  <si>
    <t>Slice the feature vertically, define the thinnest valuable slice, and set MVP/MMP boundaries. Draft slices and MVP. Mark compliance-driven items that cannot be descoped regardless of value logic. Before drafting, ask me up to 5 clarifying questions about anything missing, then wait for my answers.</t>
  </si>
  <si>
    <t>Slicing options table: slice; user value delivered; deliberately excluded; effort feel (S/M/L); dependency/risk notes. Recommended sequence with rationale. MVP definition: in/out table with one-line rationale each; explicitly test each 'in' against 'would the release still be valuable without it?'. Each slice restated as user stories with acceptance criteria.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</si>
  <si>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slice row: "Slice B – Lodge with attachments: Value: customers stop emailing photos separately; Excluded: virus-scan queue UI (ops handle via existing tool); Effort: M; Risk: file-size limits need infra confirmation. MVP test: valuable without it? Yes — so slice B is r2, not MVP."</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</si>
  <si>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Feature to slice: [PASTE FEATURE + REQUIREMENTS/RULES]. Constraints: [DEADLINE, DEPENDENCIES, COMPLIANCE MUSTS]. The audience for this output: Product owner (scope decisions) and squad (build).
# ACTION
Slice the feature vertically, define the thinnest valuable slice, and set MVP/MMP boundaries. Draft slices and MVP. Mark compliance-driven items that cannot be descoped regardless of value logic. Before drafting, ask me up to 5 clarifying questions about anything missing, then wait for my answers.
# RESULT / FORMAT
Slicing options table: slice; user value delivered; deliberately excluded; effort feel (S/M/L); dependency/risk notes. Recommended sequence with rationale. MVP definition: in/out table with one-line rationale each; explicitly test each 'in' against 'would the release still be valuable without it?'. Each slice restated as user stories with acceptance criteria.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slice row: "Slice B – Lodge with attachments: Value: customers stop emailing photos separately; Excluded: virus-scan queue UI (ops handle via existing tool); Effort: M; Risk: file-size limits need infra confirmation. MVP test: valuable without it? Yes — so slice B is r2, not MVP."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</si>
  <si>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AB-03-M</t>
  </si>
  <si>
    <t>Just-in-Time Requirements Elaboration</t>
  </si>
  <si>
    <t>Master – Just-in-Time Requirements Elaboration</t>
  </si>
  <si>
    <t>Definition of Ready Compliance; Elaborated User Stories; Acceptance Criteria; Example/BDD Scenarios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</si>
  <si>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Elaboration horizon: [E.G. STORIES FOR NEXT 1-2 SPRINTS]. Upcoming backlog: [PASTE OR REFERENCE]. The audience for this output: Squad (build and test from the stories), product owner (readiness decisions).</t>
  </si>
  <si>
    <t>Progressively elaborate requirements on cadence so stories are ready ahead of each sprint: manage Definition of Ready compliance, elaborate just-in-time (right detail now, defer the rest), and run spikes for uncertainty. Produce on request: (1) readiness assessment of pasted stories against the DoR (met/not met per criterion, blocking gaps, who can close each); (2) story elaboration (description, business rules, acceptance criteria, BDD example scenarios with data); (3) 'now vs later' analysis — what detail is needed this sprint vs deferrable; (4) spike definitions (question to answer, timebox, done-means, decision the outcome feeds).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</si>
  <si>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Elaborate only what the next sprint needs — flag over-elaboration as waste. BDD scenarios in Given/When/Then with concrete example data, covering happy, negative and boundary cases.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</si>
  <si>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now-vs-later call: "Now (blocks sprint): which document types trigger the flag. Later (defer to r2 elaboration): bulk-clear behaviour — not in this sprint's stories, elaborating now is waste."</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</si>
  <si>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Elaboration horizon: [E.G. STORIES FOR NEXT 1-2 SPRINTS]. Upcoming backlog: [PASTE OR REFERENCE]. The audience for this output: Squad (build and test from the stories), product owner (readiness decisions).
# ACTION
Progressively elaborate requirements on cadence so stories are ready ahead of each sprint: manage Definition of Ready compliance, elaborate just-in-time (right detail now, defer the rest), and run spikes for uncertainty. Produce on request: (1) readiness assessment of pasted stories against the DoR (met/not met per criterion, blocking gaps, who can close each); (2) story elaboration (description, business rules, acceptance criteria, BDD example scenarios with data); (3) 'now vs later' analysis — what detail is needed this sprint vs deferrable; (4) spike definitions (question to answer, timebox, done-means, decision the outcome feeds).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Elaborate only what the next sprint needs — flag over-elaboration as waste. BDD scenarios in Given/When/Then with concrete example data, covering happy, negative and boundary cases.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now-vs-later call: "Now (blocks sprint): which document types trigger the flag. Later (defer to r2 elaboration): bulk-clear behaviour — not in this sprint's stories, elaborating now is waste."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</si>
  <si>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AB-03-D1</t>
  </si>
  <si>
    <t>Story Elaboration to Definition of Ready (with BDD)</t>
  </si>
  <si>
    <t>Elaborated User Stories; Acceptance Criteria; BDD/Gherkin Scenarios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</si>
  <si>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Story to elaborate: [PASTE STORY + ANY NOTES/RULES]. Sprint it targets: [SPRINT]. The audience for this output: Developers and testers picking the story up; product owner confirming intent.</t>
  </si>
  <si>
    <t>Elaborate the story to genuinely Ready: rules, criteria and BDD scenarios a developer and tester can work from without re-asking. Elaborate, then run the DoR checklist over your own output and state pass/fail per criterion. Before drafting, ask me up to 5 clarifying questions about anything missing, then wait for my answers.</t>
  </si>
  <si>
    <t>Story restated (As a / I want / so that); business rules table (categorised, ambiguities flagged); acceptance criteria Given/When/Then — minimum 3 happy, 2 negative, 2 boundary; BDD scenarios in Gherkin with realistic (synthetic) example data; open questions that keep it from Ready, each with the person who can answer.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</si>
  <si>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Gherkin: "Scenario: supporting document expiring within window. Given case C-1042 has a supporting document expiring in 10 days, When the case officer opens their worklist, Then C-1042 shows an 'expiring' badge with '10 days'. (Data: synthetic case C-1042, document end-date = today+10.)"</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</si>
  <si>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Story to elaborate: [PASTE STORY + ANY NOTES/RULES]. Sprint it targets: [SPRINT]. The audience for this output: Developers and testers picking the story up; product owner confirming intent.
# ACTION
Elaborate the story to genuinely Ready: rules, criteria and BDD scenarios a developer and tester can work from without re-asking. Elaborate, then run the DoR checklist over your own output and state pass/fail per criterion. Before drafting, ask me up to 5 clarifying questions about anything missing, then wait for my answers.
# RESULT / FORMAT
Story restated (As a / I want / so that); business rules table (categorised, ambiguities flagged); acceptance criteria Given/When/Then — minimum 3 happy, 2 negative, 2 boundary; BDD scenarios in Gherkin with realistic (synthetic) example data; open questions that keep it from Ready, each with the person who can answer.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Gherkin: "Scenario: supporting document expiring within window. Given case C-1042 has a supporting document expiring in 10 days, When the case officer opens their worklist, Then C-1042 shows an 'expiring' badge with '10 days'. (Data: synthetic case C-1042, document end-date = today+10.)"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</si>
  <si>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AB-03-D2</t>
  </si>
  <si>
    <t>Spike Definition &amp; Outcome Record</t>
  </si>
  <si>
    <t>Spike Outcomes; Decision Records; De-risked Stories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</si>
  <si>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Uncertainty to resolve: [WHAT WE DON'T KNOW]. Stories blocked by it: [IDS]. Timebox available: [E.G. 2 DAYS]. The audience for this output: Squad (running the spike), product owner (accepting the decision).</t>
  </si>
  <si>
    <t>Define a sharp spike before it runs, and turn its findings into a decision record afterwards. Draft whichever half I ask for. Reject spike questions that are really two questions — split them. Before drafting, ask me up to 5 clarifying questions about anything missing, then wait for my answers.</t>
  </si>
  <si>
    <t>Spike definition: the question (answerable, singular); why it blocks delivery; method (what will be tried/read/tested); timebox; 'done means' (the artefact or answer produced); decision the outcome feeds. Outcome record: what was learned (facts vs judgement); answer to the question; decision recommended; stories now unblocked and how their scope/estimates change.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</si>
  <si>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spike definition: "Question: can the legacy API return document end-dates in bulk (≤2s for 500 cases)? Blocks: ST-214, ST-215. Method: call the test endpoint with production-like synthetic volume. Timebox: 1 day. Done means: measured latency figures + yes/no. Feeds: build vs nightly-batch decision."</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</si>
  <si>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Uncertainty to resolve: [WHAT WE DON'T KNOW]. Stories blocked by it: [IDS]. Timebox available: [E.G. 2 DAYS]. The audience for this output: Squad (running the spike), product owner (accepting the decision).
# ACTION
Define a sharp spike before it runs, and turn its findings into a decision record afterwards. Draft whichever half I ask for. Reject spike questions that are really two questions — split them. Before drafting, ask me up to 5 clarifying questions about anything missing, then wait for my answers.
# RESULT / FORMAT
Spike definition: the question (answerable, singular); why it blocks delivery; method (what will be tried/read/tested); timebox; 'done means' (the artefact or answer produced); decision the outcome feeds. Outcome record: what was learned (facts vs judgement); answer to the question; decision recommended; stories now unblocked and how their scope/estimates change.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spike definition: "Question: can the legacy API return document end-dates in bulk (≤2s for 500 cases)? Blocks: ST-214, ST-215. Method: call the test endpoint with production-like synthetic volume. Timebox: 1 day. Done means: measured latency figures + yes/no. Feeds: build vs nightly-batch decision."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</si>
  <si>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AB-04-M</t>
  </si>
  <si>
    <t>Iteration &amp; Release Planning Support</t>
  </si>
  <si>
    <t>Master – Iteration &amp; Release Planning Support</t>
  </si>
  <si>
    <t>Release Plans; Sprint Goals; Capacity &amp; Scope Inputs; Roadmap Inputs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</si>
  <si>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Planning horizon: [SPRINT / QUARTER / RELEASE]. Backlog and priorities: [PASTE]. Capacity: [SQUAD SIZE, LEAVE, COMMITMENTS]. Fixed dates: [REGULATORY/BUSINESS DEADLINES]. The audience for this output: Product owner and delivery lead (decisions); squad (commitment); stakeholders (roadmap view).</t>
  </si>
  <si>
    <t>Support iteration and release planning by shaping scope, sequencing and sprint goals: release scope options, capacity and dependency inputs, and roadmap alignment with explicit trade-offs. Produce on request: (1) release scope options (what each release contains, value delivered, sequencing rationale, risk); (2) sprint plan inputs (candidate scope vs capacity with buffer, draft sprint goal options, DoR status); (3) dependency register for the plan (dependency, type, owner, needed-by, risk if late); (4) roadmap view and trade-off records when dates move.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</si>
  <si>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Plans show their assumptions; every date carries a confidence level; trade-offs stated as options for the product owner, not made silently.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</si>
  <si>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trade-off record: "Option A: hold 30 Sep date, descope bulk re-queue to r3. Option B: hold scope, move to 14 Oct (medium confidence). Not offered: compress testing — regression risk on payment path unacceptable."</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</si>
  <si>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Planning horizon: [SPRINT / QUARTER / RELEASE]. Backlog and priorities: [PASTE]. Capacity: [SQUAD SIZE, LEAVE, COMMITMENTS]. Fixed dates: [REGULATORY/BUSINESS DEADLINES]. The audience for this output: Product owner and delivery lead (decisions); squad (commitment); stakeholders (roadmap view).
# ACTION
Support iteration and release planning by shaping scope, sequencing and sprint goals: release scope options, capacity and dependency inputs, and roadmap alignment with explicit trade-offs. Produce on request: (1) release scope options (what each release contains, value delivered, sequencing rationale, risk); (2) sprint plan inputs (candidate scope vs capacity with buffer, draft sprint goal options, DoR status); (3) dependency register for the plan (dependency, type, owner, needed-by, risk if late); (4) roadmap view and trade-off records when dates move.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Plans show their assumptions; every date carries a confidence level; trade-offs stated as options for the product owner, not made silently.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trade-off record: "Option A: hold 30 Sep date, descope bulk re-queue to r3. Option B: hold scope, move to 14 Oct (medium confidence). Not offered: compress testing — regression risk on payment path unacceptable."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</si>
  <si>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AB-04-D1</t>
  </si>
  <si>
    <t>Release Plan &amp; Scope Sequencing</t>
  </si>
  <si>
    <t>Release Plans; Release Scope Definitions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</si>
  <si>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Features/epics to sequence: [PASTE WITH ROUGH SIZES]. Fixed dates and constraints: [LIST]. Value priorities: [WHAT THE BUSINESS NEEDS EARLIEST]. The audience for this output: Product owner and stakeholders; roadmap consumers.</t>
  </si>
  <si>
    <t>Draft a release plan that unlocks value earliest and survives contact with dependencies. Draft the plan. Show one alternative sequencing and why you rejected it. Before drafting, ask me up to 5 clarifying questions about anything missing, then wait for my answers.</t>
  </si>
  <si>
    <t>Per release: name/date; contents (features with one-line value each); the value headline ('after this release, users can...'); entry dependencies; risks. Sequencing rationale section: why this order (value, dependency, risk-burn-down). Confidence per release date (high/medium/low with the driver). Mermaid timeline diagram.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</si>
  <si>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release entry: "R1 (30 Sep — confidence: medium, driver: API spike outcome): lodge + triage + assign. Value headline: customers lodge digitally end-to-end; phone channel remains. Entry dependency: penetration test slot booked by 1 Sep."</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</si>
  <si>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Features/epics to sequence: [PASTE WITH ROUGH SIZES]. Fixed dates and constraints: [LIST]. Value priorities: [WHAT THE BUSINESS NEEDS EARLIEST]. The audience for this output: Product owner and stakeholders; roadmap consumers.
# ACTION
Draft a release plan that unlocks value earliest and survives contact with dependencies. Draft the plan. Show one alternative sequencing and why you rejected it. Before drafting, ask me up to 5 clarifying questions about anything missing, then wait for my answers.
# RESULT / FORMAT
Per release: name/date; contents (features with one-line value each); the value headline ('after this release, users can...'); entry dependencies; risks. Sequencing rationale section: why this order (value, dependency, risk-burn-down). Confidence per release date (high/medium/low with the driver). Mermaid timeline diagram.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release entry: "R1 (30 Sep — confidence: medium, driver: API spike outcome): lodge + triage + assign. Value headline: customers lodge digitally end-to-end; phone channel remains. Entry dependency: penetration test slot booked by 1 Sep."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</si>
  <si>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AB-04-D2</t>
  </si>
  <si>
    <t>Sprint Capacity &amp; Dependency Inputs</t>
  </si>
  <si>
    <t>Sprint/Iteration Plans; Dependency Registers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</si>
  <si>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Next sprint candidates: [PASTE STORIES WITH ESTIMATES]. Capacity: [POINTS/DAYS, LEAVE, MEETINGS, SUPPORT LOAD]. Cross-team dependencies: [LIST KNOWN]. The audience for this output: Squad and product owner in sprint planning.</t>
  </si>
  <si>
    <t>Prepare the capacity and dependency inputs that make sprint planning a 30-minute decision. Draft the inputs. Flag overcommitment explicitly if candidates exceed capacity — do not quietly stretch the numbers. Before drafting, ask me up to 5 clarifying questions about anything missing, then wait for my answers.</t>
  </si>
  <si>
    <t>Capacity calculation shown (raw minus leave, ceremonies, support allowance — state the buffer %); candidate scope vs capacity table with a clear cut-line; per candidate: DoR status and dependencies with owner and needed-by date; sprint goal options (2-3 drafts) each tied to the scope above its cut-line; risks to the sprint with mitigations.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</si>
  <si>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capacity calc: "Raw 80 pts → minus leave (J.S. 1 wk: −8) → minus ceremonies/support allowance 15% (−12) → planning capacity 60 pts, cut-line drawn at 56 pts (7% buffer). Candidates total 71 pts → 15 pts must fall below the line — decision for PO, options listed."</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</si>
  <si>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Next sprint candidates: [PASTE STORIES WITH ESTIMATES]. Capacity: [POINTS/DAYS, LEAVE, MEETINGS, SUPPORT LOAD]. Cross-team dependencies: [LIST KNOWN]. The audience for this output: Squad and product owner in sprint planning.
# ACTION
Prepare the capacity and dependency inputs that make sprint planning a 30-minute decision. Draft the inputs. Flag overcommitment explicitly if candidates exceed capacity — do not quietly stretch the numbers. Before drafting, ask me up to 5 clarifying questions about anything missing, then wait for my answers.
# RESULT / FORMAT
Capacity calculation shown (raw minus leave, ceremonies, support allowance — state the buffer %); candidate scope vs capacity table with a clear cut-line; per candidate: DoR status and dependencies with owner and needed-by date; sprint goal options (2-3 drafts) each tied to the scope above its cut-line; risks to the sprint with mitigations.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capacity calc: "Raw 80 pts → minus leave (J.S. 1 wk: −8) → minus ceremonies/support allowance 15% (−12) → planning capacity 60 pts, cut-line drawn at 56 pts (7% buffer). Candidates total 71 pts → 15 pts must fall below the line — decision for PO, options listed."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</si>
  <si>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AB-05-M</t>
  </si>
  <si>
    <t>Agile Metrics &amp; Flow Analysis</t>
  </si>
  <si>
    <t>Master – Agile Metrics &amp; Flow Analysis</t>
  </si>
  <si>
    <t>Velocity &amp; Burn-down Reports; Cumulative Flow Analysis; Cycle Time Analysis; Delivery Forecasts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</si>
  <si>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Data available: [PASTE VELOCITY HISTORY / CYCLE TIMES / CFD DATA / THROUGHPUT — OR DESCRIBE WHAT JIRA CAN EXPORT]. Question being asked: [E.G. 'WILL WE HIT THE SEPTEMBER RELEASE?']. The audience for this output: Squad and delivery lead primarily; summarised views for stakeholders.</t>
  </si>
  <si>
    <t>Analyse velocity, throughput and flow to inform forecasting and delivery improvement: track velocity and burn, find bottlenecks, and produce forecasts with honest confidence ranges. Produce on request: (1) velocity/burn analysis (trend, variance, drivers — scope change vs estimation vs interruptions); (2) flow analysis (where work waits, WIP vs limits, cycle time by stage, bottleneck hypothesis with evidence); (3) delivery forecast (range with confidence, method stated, assumptions listed, what would change it); (4) improvement suggestions tied to the specific bottleneck found.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</si>
  <si>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Metrics serve the team, not surveillance: analyse the work and the system, never rank individuals. Forecasts as ranges with stated method (e.g. throughput-based projection), never single dates. Distinguish signal from sprint-to-sprint noise.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</si>
  <si>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velocity insight: "Velocity fell 34→22 over two sprints, but 9 pts of scope was added mid-sprint each time — the drop is churn, not slower delivery. Countermeasure: sprint-scope change policy, review in retro."</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</si>
  <si>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Data available: [PASTE VELOCITY HISTORY / CYCLE TIMES / CFD DATA / THROUGHPUT — OR DESCRIBE WHAT JIRA CAN EXPORT]. Question being asked: [E.G. 'WILL WE HIT THE SEPTEMBER RELEASE?']. The audience for this output: Squad and delivery lead primarily; summarised views for stakeholders.
# ACTION
Analyse velocity, throughput and flow to inform forecasting and delivery improvement: track velocity and burn, find bottlenecks, and produce forecasts with honest confidence ranges. Produce on request: (1) velocity/burn analysis (trend, variance, drivers — scope change vs estimation vs interruptions); (2) flow analysis (where work waits, WIP vs limits, cycle time by stage, bottleneck hypothesis with evidence); (3) delivery forecast (range with confidence, method stated, assumptions listed, what would change it); (4) improvement suggestions tied to the specific bottleneck found.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Metrics serve the team, not surveillance: analyse the work and the system, never rank individuals. Forecasts as ranges with stated method (e.g. throughput-based projection), never single dates. Distinguish signal from sprint-to-sprint noise.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velocity insight: "Velocity fell 34→22 over two sprints, but 9 pts of scope was added mid-sprint each time — the drop is churn, not slower delivery. Countermeasure: sprint-scope change policy, review in retro."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</si>
  <si>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AB-05-D1</t>
  </si>
  <si>
    <t>Flow &amp; Bottleneck Analysis</t>
  </si>
  <si>
    <t>Cumulative Flow Analysis; Cycle Time Reports; Bottleneck Assessments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</si>
  <si>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Flow data: [PASTE CYCLE TIME PER STAGE / CFD EXPORT / TICKET TIMESTAMPS]. Workflow stages: [LIST BOARD COLUMNS]. Team's felt pain: [WHAT THE SQUAD SAYS IS SLOW]. The audience for this output: Squad (owns the fixes) and delivery lead.</t>
  </si>
  <si>
    <t>Find where work actually gets stuck, and test whether the data supports the squad's intuition. Run the analysis. Where the data contradicts the squad's felt pain, say so and explain the gap. Before drafting, ask me up to 5 clarifying questions about anything missing, then wait for my answers.</t>
  </si>
  <si>
    <t>Cycle time by stage (median and 85th percentile — not averages alone); wait time vs work time split where data allows; WIP analysis against limits; bottleneck hypothesis with the evidence for it and one alternative explanation considered; 2-3 countermeasures matched to the specific bottleneck type (WIP limit, policy change, skill spread), each with 'how we'd know it worked'.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</si>
  <si>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bottleneck finding: "Median cycle time in 'Waiting for Test': 4.1 days (85th pct: 9 days) vs 'In Test' work time 0.5 days — the constraint is queueing, not testing effort. Alternative considered: environment contention (rejected — env free 87% of window). Countermeasure: WIP limit of 2 on dev-complete; signal: waiting-median &lt;1.5 days within 3 sprints."</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</si>
  <si>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Flow data: [PASTE CYCLE TIME PER STAGE / CFD EXPORT / TICKET TIMESTAMPS]. Workflow stages: [LIST BOARD COLUMNS]. Team's felt pain: [WHAT THE SQUAD SAYS IS SLOW]. The audience for this output: Squad (owns the fixes) and delivery lead.
# ACTION
Find where work actually gets stuck, and test whether the data supports the squad's intuition. Run the analysis. Where the data contradicts the squad's felt pain, say so and explain the gap. Before drafting, ask me up to 5 clarifying questions about anything missing, then wait for my answers.
# RESULT / FORMAT
Cycle time by stage (median and 85th percentile — not averages alone); wait time vs work time split where data allows; WIP analysis against limits; bottleneck hypothesis with the evidence for it and one alternative explanation considered; 2-3 countermeasures matched to the specific bottleneck type (WIP limit, policy change, skill spread), each with 'how we'd know it worked'.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bottleneck finding: "Median cycle time in 'Waiting for Test': 4.1 days (85th pct: 9 days) vs 'In Test' work time 0.5 days — the constraint is queueing, not testing effort. Alternative considered: environment contention (rejected — env free 87% of window). Countermeasure: WIP limit of 2 on dev-complete; signal: waiting-median &lt;1.5 days within 3 sprints."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</si>
  <si>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AB-05-D2</t>
  </si>
  <si>
    <t>Delivery Forecast with Confidence</t>
  </si>
  <si>
    <t>Delivery Forecasts; Confidence Assessments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</si>
  <si>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Remaining scope: [ITEMS/POINTS REMAINING]. Historical data: [PASTE THROUGHPUT/VELOCITY PER SPRINT, LAST 6+ SPRINTS]. Target date being asked about: [DATE]. The audience for this output: Delivery lead and stakeholders asking 'when will it be done?'.</t>
  </si>
  <si>
    <t>Forecast when the remaining scope will complete, as a defensible range. Produce the forecast. If my history is under 4 sprints, say the forecast is low-confidence and what to do instead. Before drafting, ask me up to 5 clarifying questions about anything missing, then wait for my answers.</t>
  </si>
  <si>
    <t>Method stated up front (e.g. throughput range projection using best/typical/worst recent sprints); forecast as three dates (optimistic / likely / conservative) with the percentile logic; assumptions list (scope stability, team stability, no major holidays — flag any that are already false); scope-vs-date trade-off table ('to hit [DATE], descope to X'); what new information would most change the forecast.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</si>
  <si>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forecast: "Remaining 84 items. Throughput last 6 sprints: 9-14/sprint. Optimistic (best 3 avg, 13.7): 6.1 sprints → 18 Nov. Likely (median 11): 7.6 → 2 Dec. Conservative (worst 3 avg, 9.3): 9 → 16 Dec. Assumption now false: squad loses 1 dev from Sprint 42 — rerun with adjusted throughput."</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</si>
  <si>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Remaining scope: [ITEMS/POINTS REMAINING]. Historical data: [PASTE THROUGHPUT/VELOCITY PER SPRINT, LAST 6+ SPRINTS]. Target date being asked about: [DATE]. The audience for this output: Delivery lead and stakeholders asking 'when will it be done?'.
# ACTION
Forecast when the remaining scope will complete, as a defensible range. Produce the forecast. If my history is under 4 sprints, say the forecast is low-confidence and what to do instead. Before drafting, ask me up to 5 clarifying questions about anything missing, then wait for my answers.
# RESULT / FORMAT
Method stated up front (e.g. throughput range projection using best/typical/worst recent sprints); forecast as three dates (optimistic / likely / conservative) with the percentile logic; assumptions list (scope stability, team stability, no major holidays — flag any that are already false); scope-vs-date trade-off table ('to hit [DATE], descope to X'); what new information would most change the forecast.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forecast: "Remaining 84 items. Throughput last 6 sprints: 9-14/sprint. Optimistic (best 3 avg, 13.7): 6.1 sprints → 18 Nov. Likely (median 11): 7.6 → 2 Dec. Conservative (worst 3 avg, 9.3): 9 → 16 Dec. Assumption now false: squad loses 1 dev from Sprint 42 — rerun with adjusted throughput."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</si>
  <si>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AB-06-M</t>
  </si>
  <si>
    <t>Agile Ways of Working Uplift</t>
  </si>
  <si>
    <t>Master – Agile Ways of Working Uplift</t>
  </si>
  <si>
    <t>Definition of Ready/Done; Analysis Ways of Working Guidelines; Team Onboarding Materials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</si>
  <si>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Uplift focus: [DoR/DoD / ANALYSIS PRACTICES / CONTINUOUS IMPROVEMENT]. Current pain points: [WHAT'S NOT WORKING]. Current artefacts: [PASTE EXISTING DoR/DoD/WORKING AGREEMENTS IF ANY]. The audience for this output: The squad (owners of their ways of working); Lead BA/practice interested in patterns.</t>
  </si>
  <si>
    <t>Embed and improve analysis practices within the squad: uplift Definitions of Ready and Done, improve how analysis supports flow, and run continuous improvement that actually sticks. Produce on request: (1) DoR/DoD drafts tailored to the squad's context and pain points (each criterion: what it means, why it's there, how checked); (2) analysis ways-of-working guidelines (how analysis feeds the flow: elaboration cadence, BA involvement per ceremony, artefact expectations); (3) practice gap analysis from my description (gap, consequence seen, candidate practice, effort); (4) improvement backlog with experiments (hypothesis, trial period, success signal).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</si>
  <si>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Practices must be team-owned: draft proposals as starting points for the squad to adapt, not mandates. Every practice change paired with 'how we'll know it helped'.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</si>
  <si>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practice gap: "Gap: no elaboration cadence — stories elaborated in the sprint they're built. Consequence seen: 3 stories bounced, spike run mid-sprint. Candidate: rolling 1.5-sprint elaboration horizon with weekly 1-hr session. Effort: low."</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</si>
  <si>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Uplift focus: [DoR/DoD / ANALYSIS PRACTICES / CONTINUOUS IMPROVEMENT]. Current pain points: [WHAT'S NOT WORKING]. Current artefacts: [PASTE EXISTING DoR/DoD/WORKING AGREEMENTS IF ANY]. The audience for this output: The squad (owners of their ways of working); Lead BA/practice interested in patterns.
# ACTION
Embed and improve analysis practices within the squad: uplift Definitions of Ready and Done, improve how analysis supports flow, and run continuous improvement that actually sticks. Produce on request: (1) DoR/DoD drafts tailored to the squad's context and pain points (each criterion: what it means, why it's there, how checked); (2) analysis ways-of-working guidelines (how analysis feeds the flow: elaboration cadence, BA involvement per ceremony, artefact expectations); (3) practice gap analysis from my description (gap, consequence seen, candidate practice, effort); (4) improvement backlog with experiments (hypothesis, trial period, success signal).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Practices must be team-owned: draft proposals as starting points for the squad to adapt, not mandates. Every practice change paired with 'how we'll know it helped'.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practice gap: "Gap: no elaboration cadence — stories elaborated in the sprint they're built. Consequence seen: 3 stories bounced, spike run mid-sprint. Candidate: rolling 1.5-sprint elaboration horizon with weekly 1-hr session. Effort: low."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</si>
  <si>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AB-06-D1</t>
  </si>
  <si>
    <t>Definition of Ready / Done Uplift</t>
  </si>
  <si>
    <t>Definition of Ready; Definition of Done; Working Agreements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</si>
  <si>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Current DoR/DoD: [PASTE OR 'NONE']. Recent failures they should have prevented: [E.G. STORIES BOUNCED MID-SPRINT, DEFECTS FROM UNCLEAR CRITERIA]. The audience for this output: The squad, who must own and apply it every sprint.</t>
  </si>
  <si>
    <t>Draft an uplifted DoR and DoD that would have caught the recent failures, sized to the squad's maturity. Draft both definitions. For each recent failure I gave, point to the criterion that now catches it — and admit any failure your draft still wouldn't catch. Before drafting, ask me up to 5 clarifying questions about anything missing, then wait for my answers.</t>
  </si>
  <si>
    <t>Per criterion: the check (one testable sentence); why it exists (tied where possible to a failure I described); who verifies and when. Keep each definition to 5-8 criteria — flag anything beyond that as process weight to justify. Include a 'trial for 3 sprints then review' adoption note and a lightweight exception rule.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</si>
  <si>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DoR criterion: "Criterion: acceptance criteria confirmed by PO. Why: 5 of 6 bounced stories had criteria agreed after start. Verified: PO thumbs-up recorded on the ticket at refinement. (Exception rule: PO may waive in writing for production-fix stories.)"</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</si>
  <si>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Current DoR/DoD: [PASTE OR 'NONE']. Recent failures they should have prevented: [E.G. STORIES BOUNCED MID-SPRINT, DEFECTS FROM UNCLEAR CRITERIA]. The audience for this output: The squad, who must own and apply it every sprint.
# ACTION
Draft an uplifted DoR and DoD that would have caught the recent failures, sized to the squad's maturity. Draft both definitions. For each recent failure I gave, point to the criterion that now catches it — and admit any failure your draft still wouldn't catch. Before drafting, ask me up to 5 clarifying questions about anything missing, then wait for my answers.
# RESULT / FORMAT
Per criterion: the check (one testable sentence); why it exists (tied where possible to a failure I described); who verifies and when. Keep each definition to 5-8 criteria — flag anything beyond that as process weight to justify. Include a 'trial for 3 sprints then review' adoption note and a lightweight exception rule.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DoR criterion: "Criterion: acceptance criteria confirmed by PO. Why: 5 of 6 bounced stories had criteria agreed after start. Verified: PO thumbs-up recorded on the ticket at refinement. (Exception rule: PO may waive in writing for production-fix stories.)"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</si>
  <si>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AB-06-D2</t>
  </si>
  <si>
    <t>Improvement Backlog &amp; Experiments</t>
  </si>
  <si>
    <t>Improvement Backlog; Experiment Outcomes; Practice Uplift Plans</t>
  </si>
  <si>
    <t>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Improvement inputs: [PASTE RETRO THEMES / PAIN POINTS / METRIC SIGNALS]. Improvement capacity: [E.G. ONE EXPERIMENT PER SPRINT]. The audience for this output: The squad; delivery lead sponsoring the time.</t>
  </si>
  <si>
    <t>Turn improvement themes into a prioritised backlog of small experiments with clear success signals. Draft the backlog. Reject vague improvements ('communicate better') — restate each as a concrete, trialable change. Before drafting, ask me up to 5 clarifying questions about anything missing, then wait for my answers.</t>
  </si>
  <si>
    <t>Backlog table: theme; root cause hypothesis; experiment (small, reversible, one sprint where possible); success signal (observable within the trial); effort; priority by impact-to-effort. Running-experiments tracker structure (started, review date, outcome, adopt/adapt/abandon decision). Explicitly limit work-in-progress on improvements to my stated capacity.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</si>
  <si>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experiment: "Hypothesis: a WIP limit of 2 on 'dev-complete' cuts waiting-for-test time. Trial: 3 sprints. Success signal: median wait &lt;1.5 days (baseline 4.1). Reversible: yes — remove the limit. Review: retro, Sprint 44."</t>
  </si>
  <si>
    <t># CONTEXT
I am an agile business analyst (Agile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Squad context: [SQUAD NAME, PRODUCT/SYSTEM, CADENCE e.g. 2-week sprints, TOOL e.g. Jira]. Definition of Ready / Done: [PASTE OR 'STANDARD']. Improvement inputs: [PASTE RETRO THEMES / PAIN POINTS / METRIC SIGNALS]. Improvement capacity: [E.G. ONE EXPERIMENT PER SPRINT]. The audience for this output: The squad; delivery lead sponsoring the time.
# ACTION
Turn improvement themes into a prioritised backlog of small experiments with clear success signals. Draft the backlog. Reject vague improvements ('communicate better') — restate each as a concrete, trialable change. Before drafting, ask me up to 5 clarifying questions about anything missing, then wait for my answers.
# RESULT / FORMAT
Backlog table: theme; root cause hypothesis; experiment (small, reversible, one sprint where possible); success signal (observable within the trial); effort; priority by impact-to-effort. Running-experiments tracker structure (started, review date, outcome, adopt/adapt/abandon decision). Explicitly limit work-in-progress on improvements to my stated capacity.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experiment: "Hypothesis: a WIP limit of 2 on 'dev-complete' cuts waiting-for-test time. Trial: 3 sprints. Success signal: median wait &lt;1.5 days (baseline 4.1). Reversible: yes — remove the limit. Review: retro, Sprint 44."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</si>
  <si>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LB-01-M</t>
  </si>
  <si>
    <t>Lead BA</t>
  </si>
  <si>
    <t>BA Engagement Planning &amp; Estimation</t>
  </si>
  <si>
    <t>Master – BA Engagement Planning &amp; Estimation</t>
  </si>
  <si>
    <t>BA Plan; BA Estimates &amp; Assumptions; Resource Forecasts; RAID Inputs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</si>
  <si>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Engagement being planned: [SCOPE SUMMARY, TIMEFRAME, KNOWN CONSTRAINTS]. The audience for this output: Project/program manager (plan integration), resource managers (forecast), the BA team (their roadmap).</t>
  </si>
  <si>
    <t>Define the BA approach, effort and resourcing across the project or program: analysis scope, approach and techniques per phase, estimates with assumptions, resource forecasts, and RAID inputs for the engagement. Produce on request: (1) BA approach summary (analysis needed per phase, techniques, deliverables, governance touchpoints); (2) analysis scope definition (in/out, depth per area, justification); (3) estimates (range + confidence per package, assumptions log with impact-if-wrong); (4) resource forecast by sprint/month with skills mix; (5) RAID inputs specific to analysis (e.g. SME availability, requirements churn).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</si>
  <si>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Estimates as ranges with confidence and named assumptions; the plan distinguishes what analysis is needed from who does it; resourcing tied to skills, not just headcount.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</si>
  <si>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RAID input: "Risk: operations SMEs available &lt;2 days/wk during the annual peak (Jul-Aug) — elicitation slips ~3 wks. Mitigation: front-load operations workshops to June; fallback: recorded walkthrough sessions. Owner: Lead BA."</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</si>
  <si>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Engagement being planned: [SCOPE SUMMARY, TIMEFRAME, KNOWN CONSTRAINTS]. The audience for this output: Project/program manager (plan integration), resource managers (forecast), the BA team (their roadmap).
# ACTION
Define the BA approach, effort and resourcing across the project or program: analysis scope, approach and techniques per phase, estimates with assumptions, resource forecasts, and RAID inputs for the engagement. Produce on request: (1) BA approach summary (analysis needed per phase, techniques, deliverables, governance touchpoints); (2) analysis scope definition (in/out, depth per area, justification); (3) estimates (range + confidence per package, assumptions log with impact-if-wrong); (4) resource forecast by sprint/month with skills mix; (5) RAID inputs specific to analysis (e.g. SME availability, requirements churn).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Estimates as ranges with confidence and named assumptions; the plan distinguishes what analysis is needed from who does it; resourcing tied to skills, not just headcount.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RAID input: "Risk: operations SMEs available &lt;2 days/wk during the annual peak (Jul-Aug) — elicitation slips ~3 wks. Mitigation: front-load operations workshops to June; fallback: recorded walkthrough sessions. Owner: Lead BA."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</si>
  <si>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LB-01-D1</t>
  </si>
  <si>
    <t>BA Approach &amp; Analysis Scope Definition</t>
  </si>
  <si>
    <t>BA Plan</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</si>
  <si>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Engagement: [DESCRIBE]. Delivery phases: [LIST]. Analysis risk areas: [WHERE AMBIGUITY IS HIGHEST]. The audience for this output: PM and steering (endorsement), BA team (execution).</t>
  </si>
  <si>
    <t>Draft the BA approach and scope so every stakeholder knows what analysis happens, when, to what depth, and why. Draft approach and scope. Challenge any area where my stated depth doesn't match its risk. Before drafting, ask me up to 5 clarifying questions about anything missing, then wait for my answers.</t>
  </si>
  <si>
    <t>Approach per phase: analysis objective; techniques (workshops, story mapping, decomposition level); deliverables and their consumers; governance/sign-off points. Scope table: area; in/out; analysis depth (light-touch / standard / deep) with justification tied to risk; deliberate exclusions with the risk accepted. One-page summary up front for the PM.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</si>
  <si>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scope row: "Area: billing calculation rules | In scope — deep (regulatory exposure, history of defects) | Deliverables: rules catalogue, calculation FRs | Consumer: build vendor + testers. Deliberate exclusion: partner commission rules (unchanged; risk accepted: regression suite covers)."</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</si>
  <si>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Engagement: [DESCRIBE]. Delivery phases: [LIST]. Analysis risk areas: [WHERE AMBIGUITY IS HIGHEST]. The audience for this output: PM and steering (endorsement), BA team (execution).
# ACTION
Draft the BA approach and scope so every stakeholder knows what analysis happens, when, to what depth, and why. Draft approach and scope. Challenge any area where my stated depth doesn't match its risk. Before drafting, ask me up to 5 clarifying questions about anything missing, then wait for my answers.
# RESULT / FORMAT
Approach per phase: analysis objective; techniques (workshops, story mapping, decomposition level); deliverables and their consumers; governance/sign-off points. Scope table: area; in/out; analysis depth (light-touch / standard / deep) with justification tied to risk; deliberate exclusions with the risk accepted. One-page summary up front for the PM.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scope row: "Area: billing calculation rules | In scope — deep (regulatory exposure, history of defects) | Deliverables: rules catalogue, calculation FRs | Consumer: build vendor + testers. Deliberate exclusion: partner commission rules (unchanged; risk accepted: regression suite covers)."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</si>
  <si>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LB-01-D2</t>
  </si>
  <si>
    <t>BA Effort Estimate &amp; Resource Forecast</t>
  </si>
  <si>
    <t>Resource Forecasts; Engagement Estimates; Assumptions log</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</si>
  <si>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Work packages: [LIST WITH ROUGH SHAPE]. Available BAs and skills: [NAMES/LEVELS OR 'TO BE HIRED']. Timeframe: [DATES]. The audience for this output: Resource managers and PM; finance for cost inputs.</t>
  </si>
  <si>
    <t>Estimate BA effort per package and forecast the resourcing profile over time. Draft estimates and forecast. State which packages are most likely to blow out and the early-warning sign for each. Before drafting, ask me up to 5 clarifying questions about anything missing, then wait for my answers.</t>
  </si>
  <si>
    <t>Per package: estimate range (days, low-high), confidence (H/M/L with driver), technique basis (analogy to named past work / decomposition), assumptions. Resource forecast: FTE by month/sprint per skill level (e.g. senior/mid), ramp-up and handover allowances included; single-point-of-failure roles flagged. Assumptions log: assumption, impact if wrong, validation owner and date.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</si>
  <si>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estimate row: "Package: case intake requirements | 25-35 BA days | Confidence: M (driver: SME availability unproven) | Basis: analogy to the 2025 intake uplift (28 days actual) | Assumption A-2: existing process maps current within 12 months — if wrong +8 days."</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</si>
  <si>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Work packages: [LIST WITH ROUGH SHAPE]. Available BAs and skills: [NAMES/LEVELS OR 'TO BE HIRED']. Timeframe: [DATES]. The audience for this output: Resource managers and PM; finance for cost inputs.
# ACTION
Estimate BA effort per package and forecast the resourcing profile over time. Draft estimates and forecast. State which packages are most likely to blow out and the early-warning sign for each. Before drafting, ask me up to 5 clarifying questions about anything missing, then wait for my answers.
# RESULT / FORMAT
Per package: estimate range (days, low-high), confidence (H/M/L with driver), technique basis (analogy to named past work / decomposition), assumptions. Resource forecast: FTE by month/sprint per skill level (e.g. senior/mid), ramp-up and handover allowances included; single-point-of-failure roles flagged. Assumptions log: assumption, impact if wrong, validation owner and date.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estimate row: "Package: case intake requirements | 25-35 BA days | Confidence: M (driver: SME availability unproven) | Basis: analogy to the 2025 intake uplift (28 days actual) | Assumption A-2: existing process maps current within 12 months — if wrong +8 days."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</si>
  <si>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LB-02-M</t>
  </si>
  <si>
    <t>BA Team Leadership &amp; Work Allocation</t>
  </si>
  <si>
    <t>Master – BA Team Leadership &amp; Work Allocation</t>
  </si>
  <si>
    <t>Work Allocation Plans; BA Delivery Status Reports; Team Performance Feedback</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</si>
  <si>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Team: [BAs WITH LEVELS/STRENGTHS, de-identified or role-labelled]. Current work: [PACKAGES IN FLIGHT]. The audience for this output: The Lead BA (private working documents), PM (status), individual BAs (feedback).</t>
  </si>
  <si>
    <t>Lead and coordinate BAs across workstreams: allocate and balance work against skills and development goals, track delivery, surface risks early, and prepare fair, specific performance feedback. Produce on request: (1) work allocation plan (package → BA, rationale: skills fit, load, development; risks like key-person dependency); (2) delivery status report (progress by package, RAG with the reason, risks/issues, decisions needed); (3) load-balance review when priorities shift; (4) performance feedback drafts (specific observed behaviours, impact, growth suggestion — never personality judgements).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</si>
  <si>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Allocation balances delivery need against development opportunity and load; status reporting is exception-focused (what needs attention, not everything that's fine). Use role labels rather than names when I supply de-identified inputs.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</si>
  <si>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feedback fragment: "Observed: in Tuesday's workshop you paraphrased the ops manager's concern back before responding — the room visibly settled (impact). Growth suggestion: same technique in steering, where you tend to answer fast."</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</si>
  <si>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Team: [BAs WITH LEVELS/STRENGTHS, de-identified or role-labelled]. Current work: [PACKAGES IN FLIGHT]. The audience for this output: The Lead BA (private working documents), PM (status), individual BAs (feedback).
# ACTION
Lead and coordinate BAs across workstreams: allocate and balance work against skills and development goals, track delivery, surface risks early, and prepare fair, specific performance feedback. Produce on request: (1) work allocation plan (package → BA, rationale: skills fit, load, development; risks like key-person dependency); (2) delivery status report (progress by package, RAG with the reason, risks/issues, decisions needed); (3) load-balance review when priorities shift; (4) performance feedback drafts (specific observed behaviours, impact, growth suggestion — never personality judgements).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Allocation balances delivery need against development opportunity and load; status reporting is exception-focused (what needs attention, not everything that's fine). Use role labels rather than names when I supply de-identified inputs.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feedback fragment: "Observed: in Tuesday's workshop you paraphrased the ops manager's concern back before responding — the room visibly settled (impact). Growth suggestion: same technique in steering, where you tend to answer fast."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</si>
  <si>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LB-02-D1</t>
  </si>
  <si>
    <t>Work Allocation Plan</t>
  </si>
  <si>
    <t>Work Allocation Plans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</si>
  <si>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Packages to allocate: [LIST WITH SKILL NEEDS AND EFFORT]. Team: [ROLE-LABELLED BAs: LEVEL, STRENGTHS, CURRENT LOAD, DEVELOPMENT GOALS]. The audience for this output: Lead BA (decision), then discussed with each BA.</t>
  </si>
  <si>
    <t>Allocate packages to BAs with explicit rationale, balanced load and managed risk. Draft the allocation. Where a stretch assignment carries delivery risk, propose the support structure that makes it safe. Before drafting, ask me up to 5 clarifying questions about anything missing, then wait for my answers.</t>
  </si>
  <si>
    <t>Allocation table: package; allocated BA (role label); rationale (skills fit / load / development stretch); load check (% allocated vs capacity); risk flags (key-person dependency, stretch without support, competing deadlines) with mitigations (pairing, review points). Unallocated remainder and options if demand exceeds supply.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</si>
  <si>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allocation row: "Package: integration requirements → Senior BA-2 (rationale: interface spec experience, 60% loaded). Risk: single person with this skill — mitigation: mid BA-4 pairs 1 day/wk for succession. Development note: stretch for BA-4, review at sprint 3."</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</si>
  <si>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Packages to allocate: [LIST WITH SKILL NEEDS AND EFFORT]. Team: [ROLE-LABELLED BAs: LEVEL, STRENGTHS, CURRENT LOAD, DEVELOPMENT GOALS]. The audience for this output: Lead BA (decision), then discussed with each BA.
# ACTION
Allocate packages to BAs with explicit rationale, balanced load and managed risk. Draft the allocation. Where a stretch assignment carries delivery risk, propose the support structure that makes it safe. Before drafting, ask me up to 5 clarifying questions about anything missing, then wait for my answers.
# RESULT / FORMAT
Allocation table: package; allocated BA (role label); rationale (skills fit / load / development stretch); load check (% allocated vs capacity); risk flags (key-person dependency, stretch without support, competing deadlines) with mitigations (pairing, review points). Unallocated remainder and options if demand exceeds supply.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allocation row: "Package: integration requirements → Senior BA-2 (rationale: interface spec experience, 60% loaded). Risk: single person with this skill — mitigation: mid BA-4 pairs 1 day/wk for succession. Development note: stretch for BA-4, review at sprint 3."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</si>
  <si>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LB-02-D2</t>
  </si>
  <si>
    <t>BA Delivery Status Report</t>
  </si>
  <si>
    <t>BA Delivery Status Reports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</si>
  <si>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Raw status inputs: [PASTE PER-PACKAGE NOTES / STANDUP SUMMARIES]. Reporting audience and cadence: [PM WEEKLY / STEERING MONTHLY]. The audience for this output: PM or steering, per my stated cadence.</t>
  </si>
  <si>
    <t>Turn raw team inputs into an exception-focused status report the audience can act on. Draft the report. If my notes hide a risk in polite language, surface it plainly in the attention section. Before drafting, ask me up to 5 clarifying questions about anything missing, then wait for my answers.</t>
  </si>
  <si>
    <t>Headline (one sentence: overall state and the single most important thing). Package table: package; RAG with the reason in ten words; movement since last report; next milestone. Attention section: risks/issues needing action (each with the ask, owner, date); decisions needed. Max one page; no activity lists ('attended meetings') — outcomes only.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</si>
  <si>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attention entry: "AMBER→RED risk: billing rules sign-off now 2 wks late; every further week slips UAT day-for-day. Ask: sponsor to direct the policy team to return markups by Fri 24th. Owner: PM. If not resolved by then: re-baseline UAT."</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</si>
  <si>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Raw status inputs: [PASTE PER-PACKAGE NOTES / STANDUP SUMMARIES]. Reporting audience and cadence: [PM WEEKLY / STEERING MONTHLY]. The audience for this output: PM or steering, per my stated cadence.
# ACTION
Turn raw team inputs into an exception-focused status report the audience can act on. Draft the report. If my notes hide a risk in polite language, surface it plainly in the attention section. Before drafting, ask me up to 5 clarifying questions about anything missing, then wait for my answers.
# RESULT / FORMAT
Headline (one sentence: overall state and the single most important thing). Package table: package; RAG with the reason in ten words; movement since last report; next milestone. Attention section: risks/issues needing action (each with the ask, owner, date); decisions needed. Max one page; no activity lists ('attended meetings') — outcomes only.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attention entry: "AMBER→RED risk: billing rules sign-off now 2 wks late; every further week slips UAT day-for-day. Ask: sponsor to direct the policy team to return markups by Fri 24th. Owner: PM. If not resolved by then: re-baseline UAT."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</si>
  <si>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LB-03-M</t>
  </si>
  <si>
    <t>Requirements Quality Assurance &amp; Review</t>
  </si>
  <si>
    <t>Master – Requirements Quality Assurance &amp; Review</t>
  </si>
  <si>
    <t>Peer Review Records; Quality Checklists; Artefact Sign-offs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</si>
  <si>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Artefact types under QA: [REQUIREMENTS / STORIES / PROCESS MAPS / SPECS]. Existing standards: [PASTE QUALITY CHECKLIST OR 'PROPOSE ONE']. The audience for this output: Artefact authors (fixes), Lead BA (assurance view), governance (sign-off evidence).</t>
  </si>
  <si>
    <t>Review and assure the quality, consistency and completeness of BA artefacts across the engagement: define the quality bar, run reviews with specific findings, and track sign-offs. Produce on request: (1) quality checklist per artefact type (criterion, what good looks like, common failure); (2) artefact review (finding, location, severity, suggested rewrite; summary grade against the checklist); (3) cross-artefact consistency review; (4) review cadence and sign-off tracking structure; (5) themes-to-coach report (recurring issues across the team's artefacts, anonymised).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</si>
  <si>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Findings are specific and fixable (location, problem, suggested rewrite) — never 'improve clarity'. Reviews grade against the stated checklist, not personal preference; consistency issues across artefacts called out separately from within-artefact issues.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</si>
  <si>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theme-to-coach: "Theme across 4 artefacts (3 authors): acceptance criteria restate the story instead of defining testable outcomes. Coaching action: 30-min CoP clinic using anonymised before/after examples; checklist item added."</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</si>
  <si>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Artefact types under QA: [REQUIREMENTS / STORIES / PROCESS MAPS / SPECS]. Existing standards: [PASTE QUALITY CHECKLIST OR 'PROPOSE ONE']. The audience for this output: Artefact authors (fixes), Lead BA (assurance view), governance (sign-off evidence).
# ACTION
Review and assure the quality, consistency and completeness of BA artefacts across the engagement: define the quality bar, run reviews with specific findings, and track sign-offs. Produce on request: (1) quality checklist per artefact type (criterion, what good looks like, common failure); (2) artefact review (finding, location, severity, suggested rewrite; summary grade against the checklist); (3) cross-artefact consistency review; (4) review cadence and sign-off tracking structure; (5) themes-to-coach report (recurring issues across the team's artefacts, anonymised).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Findings are specific and fixable (location, problem, suggested rewrite) — never 'improve clarity'. Reviews grade against the stated checklist, not personal preference; consistency issues across artefacts called out separately from within-artefact issues.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theme-to-coach: "Theme across 4 artefacts (3 authors): acceptance criteria restate the story instead of defining testable outcomes. Coaching action: 30-min CoP clinic using anonymised before/after examples; checklist item added."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</si>
  <si>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LB-03-D1</t>
  </si>
  <si>
    <t>Artefact Peer Review (Senior BA lens)</t>
  </si>
  <si>
    <t>Peer Review Records; Review Outcomes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</si>
  <si>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Artefact under review: [PASTE THE ARTEFACT]. Checklist to review against: [PASTE OR 'STANDARD REQUIREMENTS QUALITY CRITERIA']. Author's experience level: [FOR FEEDBACK CALIBRATION]. The audience for this output: The artefact author; review record kept for assurance.</t>
  </si>
  <si>
    <t>Review the artefact as a senior BA would: specific findings, prioritised, with rewrites — calibrated to develop the author. Run the review. Every 'blocker' must state the concrete downstream failure it would cause. Before drafting, ask me up to 5 clarifying questions about anything missing, then wait for my answers.</t>
  </si>
  <si>
    <t>Summary verdict (fit for sign-off / minor rework / material rework) with the one-sentence reason. Findings table: location; issue; severity (blocker/major/minor); why it matters downstream (test, build, governance); suggested rewrite. Then the top 3 issues to fix first. Close with what the author did well (specific, not token) and one growth theme.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</si>
  <si>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finding: "Location: FR-041 | Issue: 'system should handle errors appropriately' — untestable | Severity: blocker | Downstream: tester cannot derive cases; vendor will interpret cheapest | Rewrite: 'When the payment file fails validation, the system shall quarantine the file, alert the payments queue within 5 minutes, and log the failure reason.'"</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</si>
  <si>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Artefact under review: [PASTE THE ARTEFACT]. Checklist to review against: [PASTE OR 'STANDARD REQUIREMENTS QUALITY CRITERIA']. Author's experience level: [FOR FEEDBACK CALIBRATION]. The audience for this output: The artefact author; review record kept for assurance.
# ACTION
Review the artefact as a senior BA would: specific findings, prioritised, with rewrites — calibrated to develop the author. Run the review. Every 'blocker' must state the concrete downstream failure it would cause. Before drafting, ask me up to 5 clarifying questions about anything missing, then wait for my answers.
# RESULT / FORMAT
Summary verdict (fit for sign-off / minor rework / material rework) with the one-sentence reason. Findings table: location; issue; severity (blocker/major/minor); why it matters downstream (test, build, governance); suggested rewrite. Then the top 3 issues to fix first. Close with what the author did well (specific, not token) and one growth theme.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finding: "Location: FR-041 | Issue: 'system should handle errors appropriately' — untestable | Severity: blocker | Downstream: tester cannot derive cases; vendor will interpret cheapest | Rewrite: 'When the payment file fails validation, the system shall quarantine the file, alert the payments queue within 5 minutes, and log the failure reason.'"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</si>
  <si>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LB-03-D2</t>
  </si>
  <si>
    <t>Quality Framework &amp; Review Cadence</t>
  </si>
  <si>
    <t>Quality Framework; Review Cadence; Quality Checklists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</si>
  <si>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Artefact types produced: [LIST]. Team size and mix: [NUMBERS/LEVELS]. Known quality pain: [WHAT'S GONE WRONG BEFORE]. The audience for this output: The BA team (daily use), governance (assurance model).</t>
  </si>
  <si>
    <t>Define the quality framework: checklists per artefact type, review levels, and a cadence the team can sustain. Draft the framework. Justify every mandatory review step by the failure it prevents — cut any that can't be justified. Before drafting, ask me up to 5 clarifying questions about anything missing, then wait for my answers.</t>
  </si>
  <si>
    <t>Per artefact type: quality checklist (5-8 criteria, each testable, mapped where relevant to the pain I described). Review model: what gets self-checked vs peer-reviewed vs lead-reviewed, with the trigger (risk, author level, artefact criticality) — not blanket review of everything. Cadence and turnaround expectations; sign-off record structure; lightweight metrics (findings per artefact trending down).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</si>
  <si>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review-trigger rule: "Lead review required only when: artefact feeds a go/no-go or procurement decision; author is &lt;6 months in practice; or prior artefact from this package had a blocker. Everything else: peer review. (Prevents: review bottleneck at the lead — last program lost ~4 days/artefact.)"</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</si>
  <si>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Artefact types produced: [LIST]. Team size and mix: [NUMBERS/LEVELS]. Known quality pain: [WHAT'S GONE WRONG BEFORE]. The audience for this output: The BA team (daily use), governance (assurance model).
# ACTION
Define the quality framework: checklists per artefact type, review levels, and a cadence the team can sustain. Draft the framework. Justify every mandatory review step by the failure it prevents — cut any that can't be justified. Before drafting, ask me up to 5 clarifying questions about anything missing, then wait for my answers.
# RESULT / FORMAT
Per artefact type: quality checklist (5-8 criteria, each testable, mapped where relevant to the pain I described). Review model: what gets self-checked vs peer-reviewed vs lead-reviewed, with the trigger (risk, author level, artefact criticality) — not blanket review of everything. Cadence and turnaround expectations; sign-off record structure; lightweight metrics (findings per artefact trending down).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review-trigger rule: "Lead review required only when: artefact feeds a go/no-go or procurement decision; author is &lt;6 months in practice; or prior artefact from this package had a blocker. Everything else: peer review. (Prevents: review bottleneck at the lead — last program lost ~4 days/artefact.)"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</si>
  <si>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LB-04-M</t>
  </si>
  <si>
    <t>Cross-Stream Scope &amp; Dependency Coordination</t>
  </si>
  <si>
    <t>Master – Cross-Stream Scope &amp; Dependency Coordination</t>
  </si>
  <si>
    <t>Dependency Registers; Scope Alignment Records; Cross-stream Impact Assessments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</si>
  <si>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Streams: [LIST WORKSTREAMS AND THEIR SCOPE IN ONE LINE EACH]. Known friction: [WHERE OVERLAPS OR GAPS ARE SUSPECTED]. The audience for this output: Stream leads and PMs; escalation summaries for program leadership.</t>
  </si>
  <si>
    <t>Coordinate requirements scope, dependencies and impacts across teams and workstreams: map boundaries, find overlaps and gaps, maintain the dependency register, and assess cross-stream impacts of changes. Produce on request: (1) scope boundary map (per stream: owns / consumes / explicitly not covered) with overlap and gap findings; (2) dependency register (item, from-stream, to-stream, type, needed-by, status, risk if late); (3) cross-stream impact assessment for a proposed change (streams affected, requirement/artefact impacts, effort, sequencing consequence); (4) alignment session designs and the record of what was agreed.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</si>
  <si>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Boundaries stated as ownership rules ('stream A owns customer master data requirements; stream B consumes'); every overlap resolved to a single owner with a consultation duty, and recorded.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</si>
  <si>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ownership rule: "Stream A (Case Management) OWNS customer master data requirements; Stream B (Billing) CONSUMES and must be consulted on changes touching registration-number validation. Not covered by either: partner portal data — GAP, escalated."</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</si>
  <si>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Streams: [LIST WORKSTREAMS AND THEIR SCOPE IN ONE LINE EACH]. Known friction: [WHERE OVERLAPS OR GAPS ARE SUSPECTED]. The audience for this output: Stream leads and PMs; escalation summaries for program leadership.
# ACTION
Coordinate requirements scope, dependencies and impacts across teams and workstreams: map boundaries, find overlaps and gaps, maintain the dependency register, and assess cross-stream impacts of changes. Produce on request: (1) scope boundary map (per stream: owns / consumes / explicitly not covered) with overlap and gap findings; (2) dependency register (item, from-stream, to-stream, type, needed-by, status, risk if late); (3) cross-stream impact assessment for a proposed change (streams affected, requirement/artefact impacts, effort, sequencing consequence); (4) alignment session designs and the record of what was agreed.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Boundaries stated as ownership rules ('stream A owns customer master data requirements; stream B consumes'); every overlap resolved to a single owner with a consultation duty, and recorded.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ownership rule: "Stream A (Case Management) OWNS customer master data requirements; Stream B (Billing) CONSUMES and must be consulted on changes touching registration-number validation. Not covered by either: partner portal data — GAP, escalated."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</si>
  <si>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LB-04-D1</t>
  </si>
  <si>
    <t>Cross-Stream Dependency Register</t>
  </si>
  <si>
    <t>Dependency Registers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</si>
  <si>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Streams and plans: [PASTE STREAM SCOPES/MILESTONES]. Known dependencies: [LIST WHAT'S ALREADY KNOWN]. The audience for this output: Stream leads (management), program leadership (the watch-list).</t>
  </si>
  <si>
    <t>Build the cross-stream dependency register and expose the chains that threaten the program. Build the register from my inputs and infer likely missing dependencies from the stream scopes — marking inferred rows 'INFERRED — CONFIRM'. Before drafting, ask me up to 5 clarifying questions about anything missing, then wait for my answers.</t>
  </si>
  <si>
    <t>Register: ID; what is needed; from-stream → to-stream; type (artefact / decision / data / resource); needed-by; current status; criticality; risk if late and who feels it. Then the analysis: critical chains (dependencies of dependencies) as a Mermaid diagram; circular dependencies flagged; the 5 dependencies leadership should watch, with why.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</si>
  <si>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register row: "D-07: finalised charging-rule ruling | From: Policy stream → To: Billing stream | Type: decision | Needed by: 15 Aug | Status: at risk (policy team consulting until 10 Aug) | Criticality: high — blocks 3 sprints of billing build | Felt by: billing squad idle or building on assumption."</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</si>
  <si>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Streams and plans: [PASTE STREAM SCOPES/MILESTONES]. Known dependencies: [LIST WHAT'S ALREADY KNOWN]. The audience for this output: Stream leads (management), program leadership (the watch-list).
# ACTION
Build the cross-stream dependency register and expose the chains that threaten the program. Build the register from my inputs and infer likely missing dependencies from the stream scopes — marking inferred rows 'INFERRED — CONFIRM'. Before drafting, ask me up to 5 clarifying questions about anything missing, then wait for my answers.
# RESULT / FORMAT
Register: ID; what is needed; from-stream → to-stream; type (artefact / decision / data / resource); needed-by; current status; criticality; risk if late and who feels it. Then the analysis: critical chains (dependencies of dependencies) as a Mermaid diagram; circular dependencies flagged; the 5 dependencies leadership should watch, with why.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register row: "D-07: finalised charging-rule ruling | From: Policy stream → To: Billing stream | Type: decision | Needed by: 15 Aug | Status: at risk (policy team consulting until 10 Aug) | Criticality: high — blocks 3 sprints of billing build | Felt by: billing squad idle or building on assumption."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</si>
  <si>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LB-04-D2</t>
  </si>
  <si>
    <t>Scope Overlap Resolution &amp; Alignment Record</t>
  </si>
  <si>
    <t>Scope Alignment Records; Cross-stream Impact Assessments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</si>
  <si>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The overlap/dispute: [DESCRIBE — e.g. both streams writing requirements for the same interface]. Each stream's position: [SUMMARISE]. The audience for this output: The two stream leads and the program forum ratifying it.</t>
  </si>
  <si>
    <t>Analyse the overlap, recommend a single-owner resolution, and draft the alignment record that prevents relitigating. Draft analysis and record. If the split option creates a fragile seam, say so plainly even if it is the politically easy answer. Before drafting, ask me up to 5 clarifying questions about anything missing, then wait for my answers.</t>
  </si>
  <si>
    <t>Analysis: what each stream actually needs (beneath their position); options (A owns / B owns / split with defined seam) with consequences each; recommendation with the ownership rule stated crisply. Alignment record: decision; rationale; ownership rule; consultation duty; artefacts to update; review trigger. Impact assessment for whichever stream cedes scope.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</si>
  <si>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ownership recommendation: "Recommend: Stream B owns the case–billing interface spec end-to-end (they own the consuming system's behaviour); Stream A holds a 5-day review SLA. Split option rejected: the seam falls mid-payload where both streams would own half a mapping table — fragile."</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</si>
  <si>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The overlap/dispute: [DESCRIBE — e.g. both streams writing requirements for the same interface]. Each stream's position: [SUMMARISE]. The audience for this output: The two stream leads and the program forum ratifying it.
# ACTION
Analyse the overlap, recommend a single-owner resolution, and draft the alignment record that prevents relitigating. Draft analysis and record. If the split option creates a fragile seam, say so plainly even if it is the politically easy answer. Before drafting, ask me up to 5 clarifying questions about anything missing, then wait for my answers.
# RESULT / FORMAT
Analysis: what each stream actually needs (beneath their position); options (A owns / B owns / split with defined seam) with consequences each; recommendation with the ownership rule stated crisply. Alignment record: decision; rationale; ownership rule; consultation duty; artefacts to update; review trigger. Impact assessment for whichever stream cedes scope.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ownership recommendation: "Recommend: Stream B owns the case–billing interface spec end-to-end (they own the consuming system's behaviour); Stream A holds a 5-day review SLA. Split option rejected: the seam falls mid-payload where both streams would own half a mapping table — fragile."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</si>
  <si>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LB-05-M</t>
  </si>
  <si>
    <t>Senior Stakeholder &amp; Sponsor Engagement</t>
  </si>
  <si>
    <t>Master – Senior Stakeholder &amp; Sponsor Engagement</t>
  </si>
  <si>
    <t>Steering Committee Inputs; Escalation Papers; Decision Records; Engagement Summaries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</si>
  <si>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Senior stakeholders: [ROLES — e.g. sponsor, EGM, CIO — and what each cares about]. Current matters: [LIVE DECISIONS, ESCALATIONS, SENSITIVITIES]. The audience for this output: Sponsors, steering committees, executive stakeholders.</t>
  </si>
  <si>
    <t>Manage alignment, escalations and decision-making with senior stakeholders and sponsors: prepare escalation papers, steering inputs, decision records and engagement summaries that respect executive attention. Produce on request: (1) escalation paper (issue, impact quantified where possible, options with consequences, the specific ask, needed-by date); (2) steering committee input (status headline, decisions sought with recommendations, risks worth their attention); (3) decision record (decision, decider, rationale, alternatives rejected, impacts); (4) engagement summary after key meetings (what was agreed, positions shifted, follow-ups).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</si>
  <si>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Executive economy: the ask in the first two sentences; one page unless the decision justifies more; options always include consequences of deciding nothing.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</si>
  <si>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decisions-sought block: "Decision 2: approve descope of bulk re-queue to R3. Recommendation: approve. Consequence of deferral: R2 date moves 2 wks OR testing compressed below agreed risk floor. Cost of descope: ops manual workaround ~20 min/day for 6 wks."</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</si>
  <si>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Senior stakeholders: [ROLES — e.g. sponsor, EGM, CIO — and what each cares about]. Current matters: [LIVE DECISIONS, ESCALATIONS, SENSITIVITIES]. The audience for this output: Sponsors, steering committees, executive stakeholders.
# ACTION
Manage alignment, escalations and decision-making with senior stakeholders and sponsors: prepare escalation papers, steering inputs, decision records and engagement summaries that respect executive attention. Produce on request: (1) escalation paper (issue, impact quantified where possible, options with consequences, the specific ask, needed-by date); (2) steering committee input (status headline, decisions sought with recommendations, risks worth their attention); (3) decision record (decision, decider, rationale, alternatives rejected, impacts); (4) engagement summary after key meetings (what was agreed, positions shifted, follow-ups).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Executive economy: the ask in the first two sentences; one page unless the decision justifies more; options always include consequences of deciding nothing.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decisions-sought block: "Decision 2: approve descope of bulk re-queue to R3. Recommendation: approve. Consequence of deferral: R2 date moves 2 wks OR testing compressed below agreed risk floor. Cost of descope: ops manual workaround ~20 min/day for 6 wks."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</si>
  <si>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LB-05-D1</t>
  </si>
  <si>
    <t>Escalation / Decision Paper</t>
  </si>
  <si>
    <t>Escalation Papers; Decision Records; Escalation Outcomes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</si>
  <si>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The issue: [DESCRIBE, INCLUDING TECHNICAL DETAIL IF ANY]. Decision maker: [WHO]. Deadline pressure: [WHY NOW]. The audience for this output: The named decision maker; copied to the steering forum.</t>
  </si>
  <si>
    <t>Draft an escalation paper that gets a decision at first reading. Draft the paper. Strip every sentence that doesn't move the decision — then list what you cut in case I disagree. Before drafting, ask me up to 5 clarifying questions about anything missing, then wait for my answers.</t>
  </si>
  <si>
    <t>Structure: the ask (two sentences: what decision, by when); the issue in business terms (technical detail translated); impact if unresolved (quantified or [TO BE QUANTIFIED], at 2 and 6 weeks); options table (option, consequence, cost/effort feel, recommendation flag); risks of the recommended path stated honestly; the specific next step on approval. One page.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</si>
  <si>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ask paragraph: "Decision required by COB Friday 24 July: approve engagement of the vendor's data migration specialist (est. [FINANCE TO ESTIMATE], 4 wks). Without it, reconciliation design slips beyond the cutover rehearsal, putting the November go-live at risk."</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</si>
  <si>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The issue: [DESCRIBE, INCLUDING TECHNICAL DETAIL IF ANY]. Decision maker: [WHO]. Deadline pressure: [WHY NOW]. The audience for this output: The named decision maker; copied to the steering forum.
# ACTION
Draft an escalation paper that gets a decision at first reading. Draft the paper. Strip every sentence that doesn't move the decision — then list what you cut in case I disagree. Before drafting, ask me up to 5 clarifying questions about anything missing, then wait for my answers.
# RESULT / FORMAT
Structure: the ask (two sentences: what decision, by when); the issue in business terms (technical detail translated); impact if unresolved (quantified or [TO BE QUANTIFIED], at 2 and 6 weeks); options table (option, consequence, cost/effort feel, recommendation flag); risks of the recommended path stated honestly; the specific next step on approval. One page.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ask paragraph: "Decision required by COB Friday 24 July: approve engagement of the vendor's data migration specialist (est. [FINANCE TO ESTIMATE], 4 wks). Without it, reconciliation design slips beyond the cutover rehearsal, putting the November go-live at risk."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</si>
  <si>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LB-05-D2</t>
  </si>
  <si>
    <t>Steering Committee Pack Input</t>
  </si>
  <si>
    <t>Steering Committee Packs; Engagement Summaries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</si>
  <si>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Reporting period: [PERIOD]. Raw inputs: [PASTE STATUS NOTES, RISKS, DECISIONS NEEDED]. Committee's known concerns: [WHAT THEY ASKED LAST TIME]. The audience for this output: Steering committee members reading in the 10 minutes before the meeting.</t>
  </si>
  <si>
    <t>Prepare the analysis slice of the steering pack: status they can trust, decisions framed for a yes/no, risks worth executive attention. Draft the input. Flag anything in my raw notes that a committee member would probe, with a suggested holding answer. Before drafting, ask me up to 5 clarifying questions about anything missing, then wait for my answers.</t>
  </si>
  <si>
    <t>Status: headline sentence + RAG with reasons (an amber must say what turns it green and by when). Decisions sought: each on its own block — decision, recommendation, consequence of deferral. Risks: only those needing executive help or awareness, with the specific ask. Answers to last meeting's questions addressed explicitly. Slide-ready phrasing (short lines, no paragraphs).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</si>
  <si>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RAG line: "Requirements: AMBER — billing rules sign-off 2 wks late. Turns GREEN when policy markups land (due 24 Jul, chased 21 Jul). Escalation already lodged: yes, E-04."</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</si>
  <si>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Reporting period: [PERIOD]. Raw inputs: [PASTE STATUS NOTES, RISKS, DECISIONS NEEDED]. Committee's known concerns: [WHAT THEY ASKED LAST TIME]. The audience for this output: Steering committee members reading in the 10 minutes before the meeting.
# ACTION
Prepare the analysis slice of the steering pack: status they can trust, decisions framed for a yes/no, risks worth executive attention. Draft the input. Flag anything in my raw notes that a committee member would probe, with a suggested holding answer. Before drafting, ask me up to 5 clarifying questions about anything missing, then wait for my answers.
# RESULT / FORMAT
Status: headline sentence + RAG with reasons (an amber must say what turns it green and by when). Decisions sought: each on its own block — decision, recommendation, consequence of deferral. Risks: only those needing executive help or awareness, with the specific ask. Answers to last meeting's questions addressed explicitly. Slide-ready phrasing (short lines, no paragraphs).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RAG line: "Requirements: AMBER — billing rules sign-off 2 wks late. Turns GREEN when policy markups land (due 24 Jul, chased 21 Jul). Escalation already lodged: yes, E-04."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</si>
  <si>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LB-06-M</t>
  </si>
  <si>
    <t>BA Mentoring &amp; Capability Development</t>
  </si>
  <si>
    <t>Master – BA Mentoring &amp; Capability Development</t>
  </si>
  <si>
    <t>Mentoring Plans; Development Goals; Coaching &amp; Feedback Records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</si>
  <si>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Mentee context: [ROLE-LABELLED — LEVEL, STRENGTHS, GROWTH AREAS, ASPIRATIONS; de-identified]. Engagement's capability needs: [SKILLS THE WORK DEMANDS]. The audience for this output: The Lead BA (preparation, private) and the mentee (plans and feedback shared with them).</t>
  </si>
  <si>
    <t>Mentor and coach BAs to lift analysis capability: mentoring plans, development goals, coaching conversation preparation, feedback drafting, and engagement-level capability building. Produce on request: (1) mentoring plan (goals from X-to-Y, activities: stretch work, shadowing, courses; check-in cadence; evidence of progress); (2) coaching conversation prep (opening, questions that let them self-assess first, the feedback in behaviour-impact form, agreed-actions frame); (3) skills gap analysis (skill, required level for the work, current evidence, gap, development route); (4) capability uplift actions at engagement level.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</si>
  <si>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Development goals follow 'from X to Y by Z, evidenced by...'; feedback describes observed behaviour and impact, never traits; stretch assignments paired with support structures. Use role labels, not names.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</si>
  <si>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coaching question set: "Standing check-in questions: What did you ship that you're proud of? Where did you get stuck longer than you should have? What would you do differently if it were next Monday again?"</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</si>
  <si>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Mentee context: [ROLE-LABELLED — LEVEL, STRENGTHS, GROWTH AREAS, ASPIRATIONS; de-identified]. Engagement's capability needs: [SKILLS THE WORK DEMANDS]. The audience for this output: The Lead BA (preparation, private) and the mentee (plans and feedback shared with them).
# ACTION
Mentor and coach BAs to lift analysis capability: mentoring plans, development goals, coaching conversation preparation, feedback drafting, and engagement-level capability building. Produce on request: (1) mentoring plan (goals from X-to-Y, activities: stretch work, shadowing, courses; check-in cadence; evidence of progress); (2) coaching conversation prep (opening, questions that let them self-assess first, the feedback in behaviour-impact form, agreed-actions frame); (3) skills gap analysis (skill, required level for the work, current evidence, gap, development route); (4) capability uplift actions at engagement level.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Development goals follow 'from X to Y by Z, evidenced by...'; feedback describes observed behaviour and impact, never traits; stretch assignments paired with support structures. Use role labels, not names.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coaching question set: "Standing check-in questions: What did you ship that you're proud of? Where did you get stuck longer than you should have? What would you do differently if it were next Monday again?"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</si>
  <si>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LB-06-D1</t>
  </si>
  <si>
    <t>Mentoring Plan &amp; Development Goals</t>
  </si>
  <si>
    <t>Mentoring Plans; Development Goals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</si>
  <si>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Mentee: [ROLE LABEL, LEVEL, STRENGTHS, GROWTH AREAS, THEIR STATED ASPIRATION]. Available opportunities: [UPCOMING WORK THAT COULD STRETCH THEM]. The audience for this output: Mentee (co-owner of the plan) and Lead BA.</t>
  </si>
  <si>
    <t>Draft a mentoring plan with concrete goals tied to real work, not abstract competencies. Draft the plan. If my growth areas and their aspiration conflict, name the tension and propose how to sequence both. Before drafting, ask me up to 5 clarifying questions about anything missing, then wait for my answers.</t>
  </si>
  <si>
    <t>2-3 goals maximum, each: from X to Y by Z (specific, observable); the work that develops it (named package or activity from my list); support structure (pairing, review points, safe-to-fail scope); evidence of progress (artefact quality, feedback, independent delivery). Check-in cadence with 3 standing questions. A note on what NOT to load onto this person yet.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</si>
  <si>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goal: "From: facilitates workshops with friendly stakeholders → To: independently runs a workshop with known-resistant ops leaders by end of Q3. Via: co-facilitate Aug ops workshops (lead opens, mentee runs section 2), debrief within 24h. Evidence: solo-run September session with ops feedback ≥4/5."</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</si>
  <si>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Mentee: [ROLE LABEL, LEVEL, STRENGTHS, GROWTH AREAS, THEIR STATED ASPIRATION]. Available opportunities: [UPCOMING WORK THAT COULD STRETCH THEM]. The audience for this output: Mentee (co-owner of the plan) and Lead BA.
# ACTION
Draft a mentoring plan with concrete goals tied to real work, not abstract competencies. Draft the plan. If my growth areas and their aspiration conflict, name the tension and propose how to sequence both. Before drafting, ask me up to 5 clarifying questions about anything missing, then wait for my answers.
# RESULT / FORMAT
2-3 goals maximum, each: from X to Y by Z (specific, observable); the work that develops it (named package or activity from my list); support structure (pairing, review points, safe-to-fail scope); evidence of progress (artefact quality, feedback, independent delivery). Check-in cadence with 3 standing questions. A note on what NOT to load onto this person yet.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goal: "From: facilitates workshops with friendly stakeholders → To: independently runs a workshop with known-resistant ops leaders by end of Q3. Via: co-facilitate Aug ops workshops (lead opens, mentee runs section 2), debrief within 24h. Evidence: solo-run September session with ops feedback ≥4/5."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</si>
  <si>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LB-06-D2</t>
  </si>
  <si>
    <t>Skills Gap Analysis (Team)</t>
  </si>
  <si>
    <t>Skills gap analysis; Capability Uplift Actions</t>
  </si>
  <si>
    <t>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Work ahead and skills it demands: [LIST]. Team skills evidence: [ROLE-LABELLED: LEVELS, RECENT WORK, KNOWN STRENGTHS/GAPS]. The audience for this output: Lead BA and resource/practice managers.</t>
  </si>
  <si>
    <t>Map the team's skills against what the engagement needs, and plan the uplift that closes delivery-critical gaps. Draft matrix and uplift plan. Single-person coverage of a critical skill is a risk even with no gap — flag those too. Before drafting, ask me up to 5 clarifying questions about anything missing, then wait for my answers.</t>
  </si>
  <si>
    <t>Matrix: skill; level required (working/proficient/expert with anchors); per role-labelled BA: current level with evidence; team coverage verdict. Gap analysis: delivery-critical gaps (no coverage or single-person coverage) vs development-nice-to-haves. Uplift actions per critical gap: route (pairing/training/hiring/contract), time-to-competent, interim risk mitigation.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</si>
  <si>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coverage verdict: "Skill: interface specification | Required: proficient ×2 (integration-heavy phase) | Current: expert ×1 (Senior BA-2), none else above working | Verdict: single-person risk. Uplift: BA-4 pairing (time-to-proficient ~8 wks); interim: BA-2 leave embargo during interface sprints — flag to PM."</t>
  </si>
  <si>
    <t># CONTEXT
I am a lead business analyst (Lead BA).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Engagement context: [PROGRAM/PROJECT, NUMBER OF BAs AND WORKSTREAMS, DELIVERY METHOD]. Work ahead and skills it demands: [LIST]. Team skills evidence: [ROLE-LABELLED: LEVELS, RECENT WORK, KNOWN STRENGTHS/GAPS]. The audience for this output: Lead BA and resource/practice managers.
# ACTION
Map the team's skills against what the engagement needs, and plan the uplift that closes delivery-critical gaps. Draft matrix and uplift plan. Single-person coverage of a critical skill is a risk even with no gap — flag those too. Before drafting, ask me up to 5 clarifying questions about anything missing, then wait for my answers.
# RESULT / FORMAT
Matrix: skill; level required (working/proficient/expert with anchors); per role-labelled BA: current level with evidence; team coverage verdict. Gap analysis: delivery-critical gaps (no coverage or single-person coverage) vs development-nice-to-haves. Uplift actions per critical gap: route (pairing/training/hiring/contract), time-to-competent, interim risk mitigation.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coverage verdict: "Skill: interface specification | Required: proficient ×2 (integration-heavy phase) | Current: expert ×1 (Senior BA-2), none else above working | Verdict: single-person risk. Uplift: BA-4 pairing (time-to-proficient ~8 wks); interim: BA-2 leave embargo during interface sprints — flag to PM."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</si>
  <si>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PL-01-M</t>
  </si>
  <si>
    <t>Practice Lead</t>
  </si>
  <si>
    <t>BA Practice Strategy &amp; Operating Model</t>
  </si>
  <si>
    <t>Master – BA Practice Strategy &amp; Operating Model</t>
  </si>
  <si>
    <t>Practice Strategy; Operating Model; Practice Roadmap</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</si>
  <si>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Strategic drivers: [WHAT'S CHANGING — org strategy, demand shifts, AI, funding]. Current state: [HOW THE PRACTICE OPERATES TODAY]. The audience for this output: Practice sponsor and IT/business leadership (endorsement); the practice (direction).</t>
  </si>
  <si>
    <t>Define the practice vision, operating model and roadmap: what role the BA practice plays in the organisation, how it engages with delivery, what services it offers, and the roadmap to get there. Produce on request: (1) practice vision and strategy on a page (vision, priorities, measures, horizon); (2) operating model options and recommendation (engagement model with delivery, funding model, decision rights, span); (3) service catalogue positioning (which L3 services lead, grow, or hold); (4) practice roadmap (initiatives sequenced over [HORIZON], dependencies, quick wins first).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</si>
  <si>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Strategy on a page discipline: vision, 3-4 strategic priorities, measures. Operating model options presented with trade-offs (centralised / federated / hybrid) before a recommendation; the service catalogue is the L3 catalogue — build on it, don't reinvent.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</si>
  <si>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priority (strategy on a page): "Priority 2 — Analysis ready when delivery needs it: move from BAs assigned after funding to discovery analysis in the intake pipeline. Measure: % of initiatives entering delivery with validated problem statement (baseline [TO BE MEASURED] → 80%)."</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</si>
  <si>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Strategic drivers: [WHAT'S CHANGING — org strategy, demand shifts, AI, funding]. Current state: [HOW THE PRACTICE OPERATES TODAY]. The audience for this output: Practice sponsor and IT/business leadership (endorsement); the practice (direction).
# ACTION
Define the practice vision, operating model and roadmap: what role the BA practice plays in the organisation, how it engages with delivery, what services it offers, and the roadmap to get there. Produce on request: (1) practice vision and strategy on a page (vision, priorities, measures, horizon); (2) operating model options and recommendation (engagement model with delivery, funding model, decision rights, span); (3) service catalogue positioning (which L3 services lead, grow, or hold); (4) practice roadmap (initiatives sequenced over [HORIZON], dependencies, quick wins first).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Strategy on a page discipline: vision, 3-4 strategic priorities, measures. Operating model options presented with trade-offs (centralised / federated / hybrid) before a recommendation; the service catalogue is the L3 catalogue — build on it, don't reinvent.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priority (strategy on a page): "Priority 2 — Analysis ready when delivery needs it: move from BAs assigned after funding to discovery analysis in the intake pipeline. Measure: % of initiatives entering delivery with validated problem statement (baseline [TO BE MEASURED] → 80%)."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</si>
  <si>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PL-01-D1</t>
  </si>
  <si>
    <t>Practice Strategy on a Page</t>
  </si>
  <si>
    <t>Practice Strategy</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</si>
  <si>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Inputs: [PASTE ORG STRATEGY EXTRACTS, PRACTICE PAIN POINTS, STAKEHOLDER FEEDBACK]. The audience for this output: Practice sponsor (endorsement) and all practice BAs (direction).</t>
  </si>
  <si>
    <t>Distil a practice strategy onto one page that both leadership and every practice BA can quote. Draft the page. Test each priority against 'would a BA change what they do tomorrow because of this?' — rewrite any that fail. Before drafting, ask me up to 5 clarifying questions about anything missing, then wait for my answers.</t>
  </si>
  <si>
    <t>Vision (one sentence, outcome-oriented); why now (three drivers from my inputs); 3-4 strategic priorities each with: what it means, what changes, how measured; explicitly-not-doing list; 12-month proof points. Everything on one page; supporting rationale in a short appendix.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</si>
  <si>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not-doing item: "Not doing in FY27: process mining tooling. Why: capability and data foundations not ready; revisit when the data warehouse Silver layer stabilises. (Parking beats pretending.)"</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</si>
  <si>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Inputs: [PASTE ORG STRATEGY EXTRACTS, PRACTICE PAIN POINTS, STAKEHOLDER FEEDBACK]. The audience for this output: Practice sponsor (endorsement) and all practice BAs (direction).
# ACTION
Distil a practice strategy onto one page that both leadership and every practice BA can quote. Draft the page. Test each priority against 'would a BA change what they do tomorrow because of this?' — rewrite any that fail. Before drafting, ask me up to 5 clarifying questions about anything missing, then wait for my answers.
# RESULT / FORMAT
Vision (one sentence, outcome-oriented); why now (three drivers from my inputs); 3-4 strategic priorities each with: what it means, what changes, how measured; explicitly-not-doing list; 12-month proof points. Everything on one page; supporting rationale in a short appendix.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not-doing item: "Not doing in FY27: process mining tooling. Why: capability and data foundations not ready; revisit when the data warehouse Silver layer stabilises. (Parking beats pretending.)"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</si>
  <si>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PL-01-D2</t>
  </si>
  <si>
    <t>Operating Model &amp; Service Catalogue Definition</t>
  </si>
  <si>
    <t>Operating Model; Service Catalogue; Practice Roadmap</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</si>
  <si>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Current engagement model: [HOW BAs GET ASSIGNED TODAY]. Friction: [WHAT'S NOT WORKING]. The L3 service catalogue: [REFERENCE — 42 services across Business/Business-Tech/Technical/Agile/Lead/Practice roles]. The audience for this output: Practice sponsor and PMO (agreement); delivery leaders (the customer view).</t>
  </si>
  <si>
    <t>Design how the practice engages with delivery and formalise the service catalogue around the L3 services. Draft model and catalogue. State the failure mode of the recommended model and the guardrail against it. Before drafting, ask me up to 5 clarifying questions about anything missing, then wait for my answers.</t>
  </si>
  <si>
    <t>Operating model: options (centralised pool / embedded-federated / hybrid) assessed against my friction points; recommendation with decision rights (who assigns, who sets standards, who owns quality), funding/chargeback note, and interfaces to PMO and delivery. Service catalogue: the L3 services with, per service: when to request it, what you get (deliverables), how to engage. Transition roadmap from current to target.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</si>
  <si>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decision-rights line: "Assignment: PMO requests via the service catalogue; Practice Lead assigns (delivery may request, not select, individuals). Standards: Practice Lead owns; delivery variances need written practice sign-off. Quality: Lead BA on each program owns artefact QA against practice checklists."</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</si>
  <si>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Current engagement model: [HOW BAs GET ASSIGNED TODAY]. Friction: [WHAT'S NOT WORKING]. The L3 service catalogue: [REFERENCE — 42 services across Business/Business-Tech/Technical/Agile/Lead/Practice roles]. The audience for this output: Practice sponsor and PMO (agreement); delivery leaders (the customer view).
# ACTION
Design how the practice engages with delivery and formalise the service catalogue around the L3 services. Draft model and catalogue. State the failure mode of the recommended model and the guardrail against it. Before drafting, ask me up to 5 clarifying questions about anything missing, then wait for my answers.
# RESULT / FORMAT
Operating model: options (centralised pool / embedded-federated / hybrid) assessed against my friction points; recommendation with decision rights (who assigns, who sets standards, who owns quality), funding/chargeback note, and interfaces to PMO and delivery. Service catalogue: the L3 services with, per service: when to request it, what you get (deliverables), how to engage. Transition roadmap from current to target.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decision-rights line: "Assignment: PMO requests via the service catalogue; Practice Lead assigns (delivery may request, not select, individuals). Standards: Practice Lead owns; delivery variances need written practice sign-off. Quality: Lead BA on each program owns artefact QA against practice checklists."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</si>
  <si>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PL-02-M</t>
  </si>
  <si>
    <t>Standards, Methods &amp; Templates</t>
  </si>
  <si>
    <t>Master – Standards, Methods &amp; Templates</t>
  </si>
  <si>
    <t>BA Playbooks; Templates &amp; Standards; Method Guidance; Quality Frameworks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</si>
  <si>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Standards landscape: [WHAT EXISTS, WHAT'S MISSING, WHAT'S IGNORED]. Priority area: [E.G. REQUIREMENTS STANDARD, PROCESS MAPPING STANDARD, AGILE ANALYSIS METHOD]. The audience for this output: Practice BAs (users), Lead BAs (enforcers), governance (assurance).</t>
  </si>
  <si>
    <t>Define and maintain BA standards, methods, templates and quality expectations: playbooks that BAs actually use, templates with embedded guidance, and method guidance matched to delivery contexts. Produce on request: (1) playbook chapters (when this applies, method steps, artefact standards, worked example, common failures); (2) template designs (sections, per-section guidance, embedded quality criteria, example content); (3) standard definitions (mandatory vs recommended, justification each); (4) method guidance per delivery context; (5) adoption plan (rollout, feedback loop, retirement of superseded material).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</si>
  <si>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Standards earn adoption: every mandated element justified by the failure it prevents; templates ship with a completed example and per-section guidance; method guidance keyed to the delivery contexts (system update, agile, transition, procurement, data warehouse, AI agentic) rather than one-size-fits-all.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</si>
  <si>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MUST justification: "MUST: every requirement has a unique ID. Failure prevented: the 2025 billing defect where an unnumbered requirement was silently dropped between the BRD and the vendor backlog — untraceable for 3 months."</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</si>
  <si>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Standards landscape: [WHAT EXISTS, WHAT'S MISSING, WHAT'S IGNORED]. Priority area: [E.G. REQUIREMENTS STANDARD, PROCESS MAPPING STANDARD, AGILE ANALYSIS METHOD]. The audience for this output: Practice BAs (users), Lead BAs (enforcers), governance (assurance).
# ACTION
Define and maintain BA standards, methods, templates and quality expectations: playbooks that BAs actually use, templates with embedded guidance, and method guidance matched to delivery contexts. Produce on request: (1) playbook chapters (when this applies, method steps, artefact standards, worked example, common failures); (2) template designs (sections, per-section guidance, embedded quality criteria, example content); (3) standard definitions (mandatory vs recommended, justification each); (4) method guidance per delivery context; (5) adoption plan (rollout, feedback loop, retirement of superseded material).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Standards earn adoption: every mandated element justified by the failure it prevents; templates ship with a completed example and per-section guidance; method guidance keyed to the delivery contexts (system update, agile, transition, procurement, data warehouse, AI agentic) rather than one-size-fits-all.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MUST justification: "MUST: every requirement has a unique ID. Failure prevented: the 2025 billing defect where an unnumbered requirement was silently dropped between the BRD and the vendor backlog — untraceable for 3 months."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</si>
  <si>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PL-02-D1</t>
  </si>
  <si>
    <t>Playbook / Standard Draft</t>
  </si>
  <si>
    <t>BA Playbooks; Standards &amp; Guidelines; Method Guidance</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</si>
  <si>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Standard to draft: [TOPIC — e.g. requirements writing, process levelling (L1-L6 hierarchy), story slicing]. Existing material: [PASTE FRAGMENTS/CURRENT PRACTICE]. Failures it must prevent: [LIST REAL EXAMPLES]. The audience for this output: Practice BAs at all levels; Lead BAs reviewing against it.</t>
  </si>
  <si>
    <t>Draft the playbook chapter or standard so a mid-level BA can apply it unaided. Draft it. Every MUST that lacks a named failure gets demoted to SHOULD — show me which ones you demoted. Before drafting, ask me up to 5 clarifying questions about anything missing, then wait for my answers.</t>
  </si>
  <si>
    <t>Structure: when this applies (and doesn't); the standard itself (mandatory elements marked MUST with the failure each prevents; recommended marked SHOULD); method steps; one fully worked example using realistic (synthetic) content from our own domain; common failure gallery (bad example → why it fails → corrected version); quality checklist for self-review.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</si>
  <si>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failure-gallery entry: "Bad: 'Process cases efficiently' (Level? Task? — fails levelling: not verb-noun, not assignable, spans an entire Activity). Fix: Level 5 Task 'Validate supporting document' — verb-noun, one role, decomposes into Level 6 steps."</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</si>
  <si>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Standard to draft: [TOPIC — e.g. requirements writing, process levelling (L1-L6 hierarchy), story slicing]. Existing material: [PASTE FRAGMENTS/CURRENT PRACTICE]. Failures it must prevent: [LIST REAL EXAMPLES]. The audience for this output: Practice BAs at all levels; Lead BAs reviewing against it.
# ACTION
Draft the playbook chapter or standard so a mid-level BA can apply it unaided. Draft it. Every MUST that lacks a named failure gets demoted to SHOULD — show me which ones you demoted. Before drafting, ask me up to 5 clarifying questions about anything missing, then wait for my answers.
# RESULT / FORMAT
Structure: when this applies (and doesn't); the standard itself (mandatory elements marked MUST with the failure each prevents; recommended marked SHOULD); method steps; one fully worked example using realistic (synthetic) content from our own domain; common failure gallery (bad example → why it fails → corrected version); quality checklist for self-review.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failure-gallery entry: "Bad: 'Process cases efficiently' (Level? Task? — fails levelling: not verb-noun, not assignable, spans an entire Activity). Fix: Level 5 Task 'Validate supporting document' — verb-noun, one role, decomposes into Level 6 steps."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</si>
  <si>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PL-02-D2</t>
  </si>
  <si>
    <t>Template with Embedded Quality Criteria</t>
  </si>
  <si>
    <t>Templates; Quality Frameworks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</si>
  <si>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Template needed: [ARTEFACT TYPE — e.g. business needs statement, options paper, interface spec]. Best existing examples: [PASTE ONE OR TWO GOOD ONES IF AVAILABLE]. The audience for this output: BAs completing it; reviewers judging against it.</t>
  </si>
  <si>
    <t>Design the template: structure, per-section guidance, quality criteria, and a completed example. Draft the template. Mark sections optional-for-small-work explicitly — template bloat is the main adoption killer. Before drafting, ask me up to 5 clarifying questions about anything missing, then wait for my answers.</t>
  </si>
  <si>
    <t>Template: sections in order, each with — purpose (one line), guidance (what to write, what to avoid), quality criterion (how a reviewer judges it), and example content (from my good examples or realistic synthetic). Front matter: when to use this template, sizing guidance (what to cut for small pieces of work). Review checklist derived from the section criteria.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</si>
  <si>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per-section guidance: "Section: Consequence of no decision (options paper). Purpose: forces urgency honesty. Guidance: state what happens at +2 and +6 weeks; if the honest answer is 'nothing much', say so — the paper may not need a steering slot. Quality criterion: consequence is specific and time-bound, not 'delays will occur'."</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</si>
  <si>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Template needed: [ARTEFACT TYPE — e.g. business needs statement, options paper, interface spec]. Best existing examples: [PASTE ONE OR TWO GOOD ONES IF AVAILABLE]. The audience for this output: BAs completing it; reviewers judging against it.
# ACTION
Design the template: structure, per-section guidance, quality criteria, and a completed example. Draft the template. Mark sections optional-for-small-work explicitly — template bloat is the main adoption killer. Before drafting, ask me up to 5 clarifying questions about anything missing, then wait for my answers.
# RESULT / FORMAT
Template: sections in order, each with — purpose (one line), guidance (what to write, what to avoid), quality criterion (how a reviewer judges it), and example content (from my good examples or realistic synthetic). Front matter: when to use this template, sizing guidance (what to cut for small pieces of work). Review checklist derived from the section criteria.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per-section guidance: "Section: Consequence of no decision (options paper). Purpose: forces urgency honesty. Guidance: state what happens at +2 and +6 weeks; if the honest answer is 'nothing much', say so — the paper may not need a steering slot. Quality criterion: consequence is specific and time-bound, not 'delays will occur'."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</si>
  <si>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PL-03-M</t>
  </si>
  <si>
    <t>Capability &amp; Competency Management</t>
  </si>
  <si>
    <t>Master – Capability &amp; Competency Management</t>
  </si>
  <si>
    <t>Competency Frameworks; Capability Assessments; Training &amp; Development Plans; Career Pathways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</si>
  <si>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Role levels in the practice: [E.G. ASSOCIATE / BA / SENIOR / LEAD / PRACTICE LEAD]. Drivers: [WHY NOW — growth, attrition, capability gaps, AI shift]. The audience for this output: Practice BAs (their pathway), Lead BAs (assessment), HR/leadership (workforce planning).</t>
  </si>
  <si>
    <t>Define competency frameworks, assess capability and plan development across the practice: what each level requires, where the practice stands, career pathways, and the development plan that closes practice-wide gaps. Produce on request: (1) competency framework (competency areas × levels, behavioural anchors per cell, including emerging AI-augmented analysis skills); (2) capability assessment approach and practice-wide roll-up (heat map by competency, de-identified); (3) career pathways (level to level: what must be demonstrated, typical routes); (4) training and development plan targeting the practice-wide gaps.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</si>
  <si>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Competencies described as observable behaviours per level ('elicits needs from resistant stakeholders unaided'), not adjectives ('good communication'); assessment evidence-based; development routes named (work assignment, mentoring, formal training) with the strongest route preferred (real work).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</si>
  <si>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anchor cell: "Elicitation × Senior: plans and runs multi-stakeholder discovery for a contested scope area, surfacing conflicting needs explicitly and negotiating a documented position — without lead support. (BA level: runs single-team elicitation with a reviewed plan.)"</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</si>
  <si>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Role levels in the practice: [E.G. ASSOCIATE / BA / SENIOR / LEAD / PRACTICE LEAD]. Drivers: [WHY NOW — growth, attrition, capability gaps, AI shift]. The audience for this output: Practice BAs (their pathway), Lead BAs (assessment), HR/leadership (workforce planning).
# ACTION
Define competency frameworks, assess capability and plan development across the practice: what each level requires, where the practice stands, career pathways, and the development plan that closes practice-wide gaps. Produce on request: (1) competency framework (competency areas × levels, behavioural anchors per cell, including emerging AI-augmented analysis skills); (2) capability assessment approach and practice-wide roll-up (heat map by competency, de-identified); (3) career pathways (level to level: what must be demonstrated, typical routes); (4) training and development plan targeting the practice-wide gaps.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Competencies described as observable behaviours per level ('elicits needs from resistant stakeholders unaided'), not adjectives ('good communication'); assessment evidence-based; development routes named (work assignment, mentoring, formal training) with the strongest route preferred (real work).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anchor cell: "Elicitation × Senior: plans and runs multi-stakeholder discovery for a contested scope area, surfacing conflicting needs explicitly and negotiating a documented position — without lead support. (BA level: runs single-team elicitation with a reviewed plan.)"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</si>
  <si>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PL-03-D1</t>
  </si>
  <si>
    <t>Competency Framework (Levels &amp; Behaviours)</t>
  </si>
  <si>
    <t>Competency Frameworks; Career Pathways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</si>
  <si>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Levels: [LIST]. Competency areas wanted: [PROPOSE FROM THE L3 CATALOGUE OR LIST — e.g. elicitation, analysis &amp; modelling, technical analysis, agile delivery, stakeholder management, strategic advisory, AI-augmented analysis]. Reference frameworks in use: [E.G. SFIA / IIBA OR 'NONE']. The audience for this output: All practice BAs and assessors; HR for role profiles.</t>
  </si>
  <si>
    <t>Draft the competency framework: areas × levels with behavioural anchors that make assessment consistent. Draft the framework. Anchors must discriminate: if the same evidence could satisfy two adjacent levels, sharpen it — show me the cells you found hardest to separate. Before drafting, ask me up to 5 clarifying questions about anything missing, then wait for my answers.</t>
  </si>
  <si>
    <t>Matrix: competency area × level, each cell one observable behavioural anchor (what this person can be seen doing). Progression logic stated per area (what fundamentally changes level to level — scope, autonomy, ambiguity). Include an AI-augmented analysis area (using AI tools critically: prompt quality, output validation via G.E.T., knowing when not to use AI). Alignment notes to my reference framework where supplied.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</si>
  <si>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AI-competency anchor: "AI-augmented analysis × BA: uses library prompts with correct placeholders; always runs Explain and Test and can show one instance where validation caught an AI error. × Senior: adapts prompts to novel tasks, scores them on the 10-criterion scorecard, and coaches others' validation practice."</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</si>
  <si>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Levels: [LIST]. Competency areas wanted: [PROPOSE FROM THE L3 CATALOGUE OR LIST — e.g. elicitation, analysis &amp; modelling, technical analysis, agile delivery, stakeholder management, strategic advisory, AI-augmented analysis]. Reference frameworks in use: [E.G. SFIA / IIBA OR 'NONE']. The audience for this output: All practice BAs and assessors; HR for role profiles.
# ACTION
Draft the competency framework: areas × levels with behavioural anchors that make assessment consistent. Draft the framework. Anchors must discriminate: if the same evidence could satisfy two adjacent levels, sharpen it — show me the cells you found hardest to separate. Before drafting, ask me up to 5 clarifying questions about anything missing, then wait for my answers.
# RESULT / FORMAT
Matrix: competency area × level, each cell one observable behavioural anchor (what this person can be seen doing). Progression logic stated per area (what fundamentally changes level to level — scope, autonomy, ambiguity). Include an AI-augmented analysis area (using AI tools critically: prompt quality, output validation via G.E.T., knowing when not to use AI). Alignment notes to my reference framework where supplied.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AI-competency anchor: "AI-augmented analysis × BA: uses library prompts with correct placeholders; always runs Explain and Test and can show one instance where validation caught an AI error. × Senior: adapts prompts to novel tasks, scores them on the 10-criterion scorecard, and coaches others' validation practice."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</si>
  <si>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PL-03-D2</t>
  </si>
  <si>
    <t>Practice Capability Assessment &amp; Development Plan</t>
  </si>
  <si>
    <t>Capability Assessments; Training &amp; Development Plans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</si>
  <si>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Framework: [PASTE OR REFERENCE]. Assessment inputs: [DE-IDENTIFIED SELF/LEAD ASSESSMENTS, WORK EVIDENCE]. Demand outlook: [SKILLS THE PORTFOLIO WILL NEED]. The audience for this output: Practice leadership and sponsor; anonymised summary shareable with the practice.</t>
  </si>
  <si>
    <t>Roll up individual assessments into a practice capability picture and plan the development that closes the gaps that matter. Draft heat map narrative and plan. Where assessment inputs look inflated (everyone expert), flag the calibration risk and how to fix it. Before drafting, ask me up to 5 clarifying questions about anything missing, then wait for my answers.</t>
  </si>
  <si>
    <t>Practice heat map: competency × level distribution (counts, de-identified); strengths and thin spots; demand overlay (where the portfolio needs more than the practice has). Development plan: per priority gap — target state, routes (assignment rotation, mentoring pairs, training, hiring), cost/effort feel, time-to-impact, owner. Sequenced: delivery-critical first.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</si>
  <si>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demand overlay: "Technical analysis: portfolio needs proficient ×4 from Oct (integration program) — practice has ×2 proficient, ×1 expert. Route: hire ×1 (lead time 10 wks — start now), develop ×1 (BA-7 via pairing, ready ~Dec). Interim risk: Oct-Dec thin — sequence integration workshops accordingly."</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</si>
  <si>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Framework: [PASTE OR REFERENCE]. Assessment inputs: [DE-IDENTIFIED SELF/LEAD ASSESSMENTS, WORK EVIDENCE]. Demand outlook: [SKILLS THE PORTFOLIO WILL NEED]. The audience for this output: Practice leadership and sponsor; anonymised summary shareable with the practice.
# ACTION
Roll up individual assessments into a practice capability picture and plan the development that closes the gaps that matter. Draft heat map narrative and plan. Where assessment inputs look inflated (everyone expert), flag the calibration risk and how to fix it. Before drafting, ask me up to 5 clarifying questions about anything missing, then wait for my answers.
# RESULT / FORMAT
Practice heat map: competency × level distribution (counts, de-identified); strengths and thin spots; demand overlay (where the portfolio needs more than the practice has). Development plan: per priority gap — target state, routes (assignment rotation, mentoring pairs, training, hiring), cost/effort feel, time-to-impact, owner. Sequenced: delivery-critical first.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demand overlay: "Technical analysis: portfolio needs proficient ×4 from Oct (integration program) — practice has ×2 proficient, ×1 expert. Route: hire ×1 (lead time 10 wks — start now), develop ×1 (BA-7 via pairing, ready ~Dec). Interim risk: Oct-Dec thin — sequence integration workshops accordingly."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</si>
  <si>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PL-04-M</t>
  </si>
  <si>
    <t>Workforce &amp; Resource Management</t>
  </si>
  <si>
    <t>Master – Workforce &amp; Resource Management</t>
  </si>
  <si>
    <t>Demand Forecasts; Resourcing Plans; Recruitment &amp; Onboarding Materials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</si>
  <si>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Portfolio pipeline: [KNOWN/LIKELY INITIATIVES AND TIMING]. Current supply: [HEADCOUNT BY LEVEL, PERM/CONTRACT MIX, KNOWN DEPARTURES]. The audience for this output: Practice sponsor and finance (investment), PMO (allocation), HR (recruitment).</t>
  </si>
  <si>
    <t>Manage BA demand, supply, recruitment and allocation across the portfolio: forecast demand, plan supply (hire/contract/develop), and prepare recruitment and onboarding materials. Produce on request: (1) demand forecast (FTE by level by month under committed/likely/possible scenarios, assumptions listed); (2) supply plan (current trajectory vs demand, gap analysis, response per gap with lead times and cost feel); (3) role descriptions (level, competencies from the framework, organisational context); (4) onboarding guide structure (week-by-week ramp, practice standards to learn, buddy model); (5) allocation principles when demand exceeds supply.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</si>
  <si>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Forecasts as scenarios (committed / likely / possible demand) not single lines; supply plans show lead times honestly (time-to-hire, time-to-productive); every gap has a named response (hire, contract, develop, decline work).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</si>
  <si>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allocation principle: "When demand exceeds supply: regulatory-committed work first; then initiatives in delivery over discovery; discovery requests queue with a published wait time rather than silent thin-spreading (thin-spreading is how quality incidents happened in FY25)."</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</si>
  <si>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Portfolio pipeline: [KNOWN/LIKELY INITIATIVES AND TIMING]. Current supply: [HEADCOUNT BY LEVEL, PERM/CONTRACT MIX, KNOWN DEPARTURES]. The audience for this output: Practice sponsor and finance (investment), PMO (allocation), HR (recruitment).
# ACTION
Manage BA demand, supply, recruitment and allocation across the portfolio: forecast demand, plan supply (hire/contract/develop), and prepare recruitment and onboarding materials. Produce on request: (1) demand forecast (FTE by level by month under committed/likely/possible scenarios, assumptions listed); (2) supply plan (current trajectory vs demand, gap analysis, response per gap with lead times and cost feel); (3) role descriptions (level, competencies from the framework, organisational context); (4) onboarding guide structure (week-by-week ramp, practice standards to learn, buddy model); (5) allocation principles when demand exceeds supply.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Forecasts as scenarios (committed / likely / possible demand) not single lines; supply plans show lead times honestly (time-to-hire, time-to-productive); every gap has a named response (hire, contract, develop, decline work).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allocation principle: "When demand exceeds supply: regulatory-committed work first; then initiatives in delivery over discovery; discovery requests queue with a published wait time rather than silent thin-spreading (thin-spreading is how quality incidents happened in FY25)."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</si>
  <si>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PL-04-D1</t>
  </si>
  <si>
    <t>Demand &amp; Supply Forecast</t>
  </si>
  <si>
    <t>Demand Forecasts; Resourcing Plans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</si>
  <si>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Pipeline: [PASTE INITIATIVES: STAGE, LIKELY BA NEED, TIMING]. Supply: [HEADCOUNT, LEVELS, DEPARTURES, CONTRACT END DATES]. The audience for this output: Practice sponsor and finance; PMO for expectation-setting.</t>
  </si>
  <si>
    <t>Forecast BA demand against supply and surface the gaps early enough to act. Build the forecast. Highlight the single most dangerous month and what must be decided now to survive it. Before drafting, ask me up to 5 clarifying questions about anything missing, then wait for my answers.</t>
  </si>
  <si>
    <t>Demand: FTE by level by month, three scenarios (committed only / +likely / +possible), assumptions per initiative marked [ESTIMATE — VALIDATE WITH SPONSOR]. Supply: trajectory including departures and contract cliffs. Gap chart narrative: when gaps open, at what level, under which scenario. Responses per gap: hire (lead time), contract (cost feel), develop (time), or decline/defer work — with the decision date each response needs.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</si>
  <si>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gap line: "March 27: gap of 2.0 FTE mid-level under the 'likely' scenario (two contract cliffs + Horizon-2 start). Decision needed by 15 Dec: extend contracts (cost feel: medium) or start hiring now (10-wk lead). Deciding in Feb is deciding to be short."</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</si>
  <si>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Pipeline: [PASTE INITIATIVES: STAGE, LIKELY BA NEED, TIMING]. Supply: [HEADCOUNT, LEVELS, DEPARTURES, CONTRACT END DATES]. The audience for this output: Practice sponsor and finance; PMO for expectation-setting.
# ACTION
Forecast BA demand against supply and surface the gaps early enough to act. Build the forecast. Highlight the single most dangerous month and what must be decided now to survive it. Before drafting, ask me up to 5 clarifying questions about anything missing, then wait for my answers.
# RESULT / FORMAT
Demand: FTE by level by month, three scenarios (committed only / +likely / +possible), assumptions per initiative marked [ESTIMATE — VALIDATE WITH SPONSOR]. Supply: trajectory including departures and contract cliffs. Gap chart narrative: when gaps open, at what level, under which scenario. Responses per gap: hire (lead time), contract (cost feel), develop (time), or decline/defer work — with the decision date each response needs.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gap line: "March 27: gap of 2.0 FTE mid-level under the 'likely' scenario (two contract cliffs + Horizon-2 start). Decision needed by 15 Dec: extend contracts (cost feel: medium) or start hiring now (10-wk lead). Deciding in Feb is deciding to be short."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</si>
  <si>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PL-04-D2</t>
  </si>
  <si>
    <t>Role Description &amp; Onboarding Pack</t>
  </si>
  <si>
    <t>Recruitment Packs; Onboarding Guides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</si>
  <si>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Role to define: [LEVEL AND FOCUS — e.g. Senior Technical BA]. Competency framework: [PASTE RELEVANT COLUMN OR 'STANDARD']. Team it joins: [CONTEXT]. The audience for this output: Candidates and recruiters (role description); the new starter and their buddy (onboarding).</t>
  </si>
  <si>
    <t>Draft the role description and the onboarding pack that gets the hire productive fast. Draft both. Cut any 'requirement' that's really a wish — inflated musts shrink the candidate pool for nothing. Before drafting, ask me up to 5 clarifying questions about anything missing, then wait for my answers.</t>
  </si>
  <si>
    <t>Role description: purpose (why this role exists in the organisation); accountabilities (outcomes, not task lists); competencies required (from the framework, behavioural); nice-to-haves separated honestly from musts; what success looks like at 3/6/12 months. Onboarding: week-by-week first month (access, systems, standards, key people); the 5 practice standards to read first; buddy model; 30/60/90-day check-in questions.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</si>
  <si>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3-month success line: "At 3 months: independently produces reviewed-quality requirements for a medium change; knows the core business domains well enough to challenge an SME's first answer; has run one workshop with support."</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</si>
  <si>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Role to define: [LEVEL AND FOCUS — e.g. Senior Technical BA]. Competency framework: [PASTE RELEVANT COLUMN OR 'STANDARD']. Team it joins: [CONTEXT]. The audience for this output: Candidates and recruiters (role description); the new starter and their buddy (onboarding).
# ACTION
Draft the role description and the onboarding pack that gets the hire productive fast. Draft both. Cut any 'requirement' that's really a wish — inflated musts shrink the candidate pool for nothing. Before drafting, ask me up to 5 clarifying questions about anything missing, then wait for my answers.
# RESULT / FORMAT
Role description: purpose (why this role exists in the organisation); accountabilities (outcomes, not task lists); competencies required (from the framework, behavioural); nice-to-haves separated honestly from musts; what success looks like at 3/6/12 months. Onboarding: week-by-week first month (access, systems, standards, key people); the 5 practice standards to read first; buddy model; 30/60/90-day check-in questions.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3-month success line: "At 3 months: independently produces reviewed-quality requirements for a medium change; knows the core business domains well enough to challenge an SME's first answer; has run one workshop with support."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</si>
  <si>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PL-05-M</t>
  </si>
  <si>
    <t>Practice Performance &amp; Continuous Improvement</t>
  </si>
  <si>
    <t>Master – Practice Performance &amp; Continuous Improvement</t>
  </si>
  <si>
    <t>Practice KPIs; Maturity Assessments; Improvement Initiatives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</si>
  <si>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What's measured today: [CURRENT METRICS OR 'NOTHING FORMAL']. Perceived performance: [WHAT DELIVERY PARTNERS SAY ABOUT THE PRACTICE]. The audience for this output: Practice sponsor (performance story), the practice (improvement ownership).</t>
  </si>
  <si>
    <t>Measure practice performance and maturity, and drive continuous improvement: KPIs that reflect value (not activity), maturity assessment, and improvement initiatives with tracked benefits. Produce on request: (1) practice KPI set (KPI, why it matters to delivery partners, formula, source, target [PROPOSED — VALIDATE], gaming risk); (2) maturity assessment (dimension, level with evidence, next-level behaviours); (3) improvement initiative charters (problem, hypothesis, approach, benefit measure, review date); (4) quarterly performance narrative from my raw data.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</si>
  <si>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KPIs measure outcomes delivery partners feel (artefact quality, rework avoided, cycle time to ready requirements) over activity counts (number of documents); maturity assessed against a stated model with evidence; improvement initiatives chartered with a benefit hypothesis and review date.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</si>
  <si>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KPI with gaming risk: "KPI: artefact first-pass review rate (% passing peer review without material rework). Gaming risk: reviewers soften to protect the number — counter-balance: pair with downstream defect-attribution measure."</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</si>
  <si>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What's measured today: [CURRENT METRICS OR 'NOTHING FORMAL']. Perceived performance: [WHAT DELIVERY PARTNERS SAY ABOUT THE PRACTICE]. The audience for this output: Practice sponsor (performance story), the practice (improvement ownership).
# ACTION
Measure practice performance and maturity, and drive continuous improvement: KPIs that reflect value (not activity), maturity assessment, and improvement initiatives with tracked benefits. Produce on request: (1) practice KPI set (KPI, why it matters to delivery partners, formula, source, target [PROPOSED — VALIDATE], gaming risk); (2) maturity assessment (dimension, level with evidence, next-level behaviours); (3) improvement initiative charters (problem, hypothesis, approach, benefit measure, review date); (4) quarterly performance narrative from my raw data.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KPIs measure outcomes delivery partners feel (artefact quality, rework avoided, cycle time to ready requirements) over activity counts (number of documents); maturity assessed against a stated model with evidence; improvement initiatives chartered with a benefit hypothesis and review date.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KPI with gaming risk: "KPI: artefact first-pass review rate (% passing peer review without material rework). Gaming risk: reviewers soften to protect the number — counter-balance: pair with downstream defect-attribution measure."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</si>
  <si>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PL-05-D1</t>
  </si>
  <si>
    <t>Practice KPIs &amp; Maturity Assessment</t>
  </si>
  <si>
    <t>Practice KPIs; Maturity Assessments; KPI Reports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</si>
  <si>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Data realistically available: [WHAT CAN BE MEASURED WITHOUT HEROICS]. Maturity model preference: [E.G. 5-LEVEL, OR 'PROPOSE']. The audience for this output: Practice leadership; sponsor for the performance conversation.</t>
  </si>
  <si>
    <t>Define a small honest KPI set and run a maturity self-assessment the practice can repeat yearly. Draft both. Reject any KPI I can't actually source data for — offer the nearest measurable proxy instead. Before drafting, ask me up to 5 clarifying questions about anything missing, then wait for my answers.</t>
  </si>
  <si>
    <t>KPIs: maximum 6 — each: what it tells us; formula; source (must be from my 'realistically available' list); baseline [TO BE MEASURED]; target [PROPOSED — VALIDATE]; gaming risk and counter-balance. Maturity: 5-6 dimensions (standards, capability, engagement model, quality assurance, tooling/AI, knowledge), levels 1-5 with behavioural anchors; self-assessment questionnaire; evidence expectations per level.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</si>
  <si>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maturity anchor: "Quality assurance – Level 3: checklists exist and reviews happen on a defined trigger model with records; Level 4 adds: findings trended and fed into standards/coaching (evidence: last two quarters' theme reports)."</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</si>
  <si>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Data realistically available: [WHAT CAN BE MEASURED WITHOUT HEROICS]. Maturity model preference: [E.G. 5-LEVEL, OR 'PROPOSE']. The audience for this output: Practice leadership; sponsor for the performance conversation.
# ACTION
Define a small honest KPI set and run a maturity self-assessment the practice can repeat yearly. Draft both. Reject any KPI I can't actually source data for — offer the nearest measurable proxy instead. Before drafting, ask me up to 5 clarifying questions about anything missing, then wait for my answers.
# RESULT / FORMAT
KPIs: maximum 6 — each: what it tells us; formula; source (must be from my 'realistically available' list); baseline [TO BE MEASURED]; target [PROPOSED — VALIDATE]; gaming risk and counter-balance. Maturity: 5-6 dimensions (standards, capability, engagement model, quality assurance, tooling/AI, knowledge), levels 1-5 with behavioural anchors; self-assessment questionnaire; evidence expectations per level.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maturity anchor: "Quality assurance – Level 3: checklists exist and reviews happen on a defined trigger model with records; Level 4 adds: findings trended and fed into standards/coaching (evidence: last two quarters' theme reports)."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</si>
  <si>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PL-05-D2</t>
  </si>
  <si>
    <t>Improvement Initiative Charter</t>
  </si>
  <si>
    <t>Improvement Initiatives; Benefits Tracking</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</si>
  <si>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Problem to fix: [DESCRIBE WITH EVIDENCE — metric, complaint theme, incident]. Capacity: [WHO CAN WORK ON IT, HOW MUCH TIME]. The audience for this output: Initiative owner and practice leadership.</t>
  </si>
  <si>
    <t>Charter the improvement initiative tightly enough that in three months we'll know if it worked. Draft the charter. If the problem evidence is anecdote-only, add a 'first, baseline it' step before the change. Before drafting, ask me up to 5 clarifying questions about anything missing, then wait for my answers.</t>
  </si>
  <si>
    <t>Charter: problem statement with evidence; root cause hypothesis; the change (specific, smallest version that tests the hypothesis); benefit hypothesis (measure, baseline, expected movement, by when); approach and owner; effort budget; review date and kill criteria (what result means stop). Benefits tracking table structure for the review.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</si>
  <si>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kill criterion: "Kill criteria: if after 2 sprints of the new intake triage the median time-to-ready hasn't moved ≥20% (baseline 9 days), stop and revert — do not extend the trial hoping."</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</si>
  <si>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Problem to fix: [DESCRIBE WITH EVIDENCE — metric, complaint theme, incident]. Capacity: [WHO CAN WORK ON IT, HOW MUCH TIME]. The audience for this output: Initiative owner and practice leadership.
# ACTION
Charter the improvement initiative tightly enough that in three months we'll know if it worked. Draft the charter. If the problem evidence is anecdote-only, add a 'first, baseline it' step before the change. Before drafting, ask me up to 5 clarifying questions about anything missing, then wait for my answers.
# RESULT / FORMAT
Charter: problem statement with evidence; root cause hypothesis; the change (specific, smallest version that tests the hypothesis); benefit hypothesis (measure, baseline, expected movement, by when); approach and owner; effort budget; review date and kill criteria (what result means stop). Benefits tracking table structure for the review.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kill criterion: "Kill criteria: if after 2 sprints of the new intake triage the median time-to-ready hasn't moved ≥20% (baseline 9 days), stop and revert — do not extend the trial hoping."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</si>
  <si>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PL-06-M</t>
  </si>
  <si>
    <t>Community of Practice &amp; Knowledge Management</t>
  </si>
  <si>
    <t>Master – Community of Practice &amp; Knowledge Management</t>
  </si>
  <si>
    <t>Community of Practice Sessions; Knowledge Base; Lessons Learned Register</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</si>
  <si>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Community state: [ACTIVE / SPUTTERING / NONE]. Knowledge state: [WHERE ARTEFACTS AND LESSONS LIVE TODAY, e.g. Confluence spaces]. Pain: [WHAT KNOWLEDGE KEEPS GETTING LOST OR RE-CREATED]. The audience for this output: Practice BAs (the community), Practice Lead (curation).</t>
  </si>
  <si>
    <t>Foster the BA community, knowledge sharing and reuse of practice assets: community sessions people attend by choice, a knowledge base people actually search first, and lessons that change behaviour rather than filling a register. Produce on request: (1) CoP session plans (topic, format — case clinic, artefact teardown, lightning talks; prep; the takeaway artefact); (2) topic backlog from my pain points, prioritised by reuse value; (3) knowledge base structure (organised by delivery context and L3 service, with contribution guidelines and quality bar for reusable assets); (4) lessons-learned entries rewritten from my raw material into next-time guidance, tagged for retrieval.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</si>
  <si>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Community sessions have a format and a takeaway, not just a speaker; knowledge base designed around retrieval moments ('I'm starting a procurement — what exists?'); lessons written as reusable guidance ('next time, do X') not incident reports.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</si>
  <si>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lesson rewrite: "Raw: 'vendor demo scripts were late again.' Rewritten rule: 'For any vendor demo, issue scenario scripts with data setup 10 business days ahead and hold a dry-run 3 days prior — late scripts in the CRM procurement cost a full evaluation round.' Tags: procurement, demo, evaluation."</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</si>
  <si>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Community state: [ACTIVE / SPUTTERING / NONE]. Knowledge state: [WHERE ARTEFACTS AND LESSONS LIVE TODAY, e.g. Confluence spaces]. Pain: [WHAT KNOWLEDGE KEEPS GETTING LOST OR RE-CREATED]. The audience for this output: Practice BAs (the community), Practice Lead (curation).
# ACTION
Foster the BA community, knowledge sharing and reuse of practice assets: community sessions people attend by choice, a knowledge base people actually search first, and lessons that change behaviour rather than filling a register. Produce on request: (1) CoP session plans (topic, format — case clinic, artefact teardown, lightning talks; prep; the takeaway artefact); (2) topic backlog from my pain points, prioritised by reuse value; (3) knowledge base structure (organised by delivery context and L3 service, with contribution guidelines and quality bar for reusable assets); (4) lessons-learned entries rewritten from my raw material into next-time guidance, tagged for retrieval.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Community sessions have a format and a takeaway, not just a speaker; knowledge base designed around retrieval moments ('I'm starting a procurement — what exists?'); lessons written as reusable guidance ('next time, do X') not incident reports.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lesson rewrite: "Raw: 'vendor demo scripts were late again.' Rewritten rule: 'For any vendor demo, issue scenario scripts with data setup 10 business days ahead and hold a dry-run 3 days prior — late scripts in the CRM procurement cost a full evaluation round.' Tags: procurement, demo, evaluation."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</si>
  <si>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PL-06-D1</t>
  </si>
  <si>
    <t>CoP Session Plan &amp; Topic Backlog</t>
  </si>
  <si>
    <t>Community of Practice Sessions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</si>
  <si>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Community appetite: [ATTENDANCE HISTORY, WHAT LANDED WELL]. Candidate topics: [LIST OR 'MINE FROM RECENT DELIVERY PAIN']. The audience for this output: Practice BAs; session hosts.</t>
  </si>
  <si>
    <t>Plan the next quarter of CoP sessions people choose to attend, plus the prioritised topic backlog. Draft plan and backlog. Every session must produce a takeaway artefact for the knowledge base — no takeaway, redesign the session. Before drafting, ask me up to 5 clarifying questions about anything missing, then wait for my answers.</t>
  </si>
  <si>
    <t>Per session: topic; why now (tied to live delivery pain); format (case clinic / artefact teardown / lightning talks / external speaker) matched to the topic; prep asks (small); the takeaway (template, checklist, decision guide attendees leave with); host. Quarter plan: 1 session/month, formats varied. Backlog: topic, reuse value (how many BAs hit this), effort, suggested format.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</si>
  <si>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session design: "Session: Interface specs teardown (case clinic). Why now: 3 programs writing interface specs, quality varying. Format: 2 real (de-identified) specs reviewed live against the checklist. Prep: authors volunteer, 10-min read. Takeaway: annotated exemplar spec for the knowledge base. Host: Senior Tech BA."</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</si>
  <si>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Community appetite: [ATTENDANCE HISTORY, WHAT LANDED WELL]. Candidate topics: [LIST OR 'MINE FROM RECENT DELIVERY PAIN']. The audience for this output: Practice BAs; session hosts.
# ACTION
Plan the next quarter of CoP sessions people choose to attend, plus the prioritised topic backlog. Draft plan and backlog. Every session must produce a takeaway artefact for the knowledge base — no takeaway, redesign the session. Before drafting, ask me up to 5 clarifying questions about anything missing, then wait for my answers.
# RESULT / FORMAT
Per session: topic; why now (tied to live delivery pain); format (case clinic / artefact teardown / lightning talks / external speaker) matched to the topic; prep asks (small); the takeaway (template, checklist, decision guide attendees leave with); host. Quarter plan: 1 session/month, formats varied. Backlog: topic, reuse value (how many BAs hit this), effort, suggested format.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session design: "Session: Interface specs teardown (case clinic). Why now: 3 programs writing interface specs, quality varying. Format: 2 real (de-identified) specs reviewed live against the checklist. Prep: authors volunteer, 10-min read. Takeaway: annotated exemplar spec for the knowledge base. Host: Senior Tech BA."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</si>
  <si>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PL-06-D2</t>
  </si>
  <si>
    <t>Knowledge Base Structure &amp; Contribution Guidelines</t>
  </si>
  <si>
    <t>Knowledge Base; Lessons Learned Register</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</si>
  <si>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Current state: [WHERE THINGS LIVE, WHAT'S FINDABLE, WHAT'S DUPLICATED]. Platform: [E.G. CONFLUENCE]. Retrieval moments to serve: [WHEN DO BAs GO LOOKING — LIST OR 'PROPOSE']. The audience for this output: All practice BAs (contributors and searchers); curators.</t>
  </si>
  <si>
    <t>Design the knowledge base around retrieval moments, with contribution guidelines that keep quality up and duplication down. Draft structure and guidelines. Include a 'deprecation' rule — stale trusted content is worse than no content. Before drafting, ask me up to 5 clarifying questions about anything missing, then wait for my answers.</t>
  </si>
  <si>
    <t>Structure: organised by delivery context (system update, agile, transition, procurement, data warehouse, AI agentic) and L3 service, mirroring the catalogue; per asset type (template, worked example, lesson, decision guide): quality bar for inclusion, metadata/tags, owner and review date. Contribution guidelines: what to contribute, the 10-minute contribution path, curation model (who prunes, cadence). Lessons register format: situation → what we'd do differently → reusable rule, tagged.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</si>
  <si>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quality bar: "Worked-example inclusion bar: artefact was actually used in delivery (not composed for the KB); de-identified; author-annotated (3+ callouts on why choices were made); reviewed by a Lead; owner and review date set (12 months). Fails any → contribute to 'raw examples' area instead."</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</si>
  <si>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Current state: [WHERE THINGS LIVE, WHAT'S FINDABLE, WHAT'S DUPLICATED]. Platform: [E.G. CONFLUENCE]. Retrieval moments to serve: [WHEN DO BAs GO LOOKING — LIST OR 'PROPOSE']. The audience for this output: All practice BAs (contributors and searchers); curators.
# ACTION
Design the knowledge base around retrieval moments, with contribution guidelines that keep quality up and duplication down. Draft structure and guidelines. Include a 'deprecation' rule — stale trusted content is worse than no content. Before drafting, ask me up to 5 clarifying questions about anything missing, then wait for my answers.
# RESULT / FORMAT
Structure: organised by delivery context (system update, agile, transition, procurement, data warehouse, AI agentic) and L3 service, mirroring the catalogue; per asset type (template, worked example, lesson, decision guide): quality bar for inclusion, metadata/tags, owner and review date. Contribution guidelines: what to contribute, the 10-minute contribution path, curation model (who prunes, cadence). Lessons register format: situation → what we'd do differently → reusable rule, tagged.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quality bar: "Worked-example inclusion bar: artefact was actually used in delivery (not composed for the KB); de-identified; author-annotated (3+ callouts on why choices were made); reviewed by a Lead; owner and review date set (12 months). Fails any → contribute to 'raw examples' area instead."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</si>
  <si>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PL-07-M</t>
  </si>
  <si>
    <t>Tooling &amp; AI Enablement</t>
  </si>
  <si>
    <t>Master – Tooling &amp; AI Enablement</t>
  </si>
  <si>
    <t>Tool Evaluations; Tooling Standards; AI Adoption Guidelines &amp; Guardrails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</si>
  <si>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Tooling landscape: [CURRENT TOOLS — e.g. Jira, Confluence, Copilot, modelling tools]. AI posture: [WHAT'S APPROVED, WHAT'S BEING PILOTED]. Drivers: [PRODUCTIVITY TARGETS, RISK CONCERNS]. The audience for this output: Practice BAs (guidelines), IT/security (alignment), sponsor (investment).</t>
  </si>
  <si>
    <t>Evaluate and embed analysis tooling and AI-enabled ways of working across the practice: tool evaluations, tooling standards, and AI adoption guidelines with guardrails that keep use safe and consistent — including the practice prompt library and G.E.T. validation discipline. Produce on request: (1) tool/AI capability evaluation (use cases served, evaluation criteria, trial design, cost model, recommendation); (2) tooling standards (which tool for which job, data rules per tool); (3) AI adoption guidelines (approved uses by task type, prohibited uses, data rules — de-identified inputs only, validation duty via Generate→Explain→Test, prompt library usage, quality scorecard for new prompts); (4) adoption plan with capability building (training, champions, office hours) and success measures. Before drafting, ask me up to 5 clarifying questions about anything missing, then wait for my answers.</t>
  </si>
  <si>
    <t>Structured, evidence-based business analysis writing aligned to BABOK good practice. Use clear headings, numbered requirements and tables where they aid scanning. Plain English; expand every acronym on first use; no marketing language. Tool evaluations against BA use cases from the L3 catalogue, not feature lists; AI guidelines pair every capability with its guardrail (approved uses / prohibited uses / validation duty); adoption measured by outcome (time saved, quality) not licence counts.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</si>
  <si>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approved-use pairing: "Approved: AI-drafting UAT scenarios from requirements. Guardrail: tester reviews every scenario against the requirement before use; coverage gaps remain the BA's accountability; synthetic test data only."</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</si>
  <si>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Tooling landscape: [CURRENT TOOLS — e.g. Jira, Confluence, Copilot, modelling tools]. AI posture: [WHAT'S APPROVED, WHAT'S BEING PILOTED]. Drivers: [PRODUCTIVITY TARGETS, RISK CONCERNS]. The audience for this output: Practice BAs (guidelines), IT/security (alignment), sponsor (investment).
# ACTION
Evaluate and embed analysis tooling and AI-enabled ways of working across the practice: tool evaluations, tooling standards, and AI adoption guidelines with guardrails that keep use safe and consistent — including the practice prompt library and G.E.T. validation discipline. Produce on request: (1) tool/AI capability evaluation (use cases served, evaluation criteria, trial design, cost model, recommendation); (2) tooling standards (which tool for which job, data rules per tool); (3) AI adoption guidelines (approved uses by task type, prohibited uses, data rules — de-identified inputs only, validation duty via Generate→Explain→Test, prompt library usage, quality scorecard for new prompts); (4) adoption plan with capability building (training, champions, office hours) and success measures. Before drafting, ask me up to 5 clarifying questions about anything missing, then wait for my answers.
# RESULT / FORMAT
Structured, evidence-based business analysis writing aligned to BABOK good practice. Use clear headings, numbered requirements and tables where they aid scanning. Plain English; expand every acronym on first use; no marketing language. Tool evaluations against BA use cases from the L3 catalogue, not feature lists; AI guidelines pair every capability with its guardrail (approved uses / prohibited uses / validation duty); adoption measured by outcome (time saved, quality) not licence counts.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approved-use pairing: "Approved: AI-drafting UAT scenarios from requirements. Guardrail: tester reviews every scenario against the requirement before use; coverage gaps remain the BA's accountability; synthetic test data only."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</si>
  <si>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PL-07-D1</t>
  </si>
  <si>
    <t>Tool / AI Capability Evaluation</t>
  </si>
  <si>
    <t>Tool Evaluations; Recommendations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</si>
  <si>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Candidate tool/capability: [NAME AND WHAT IT CLAIMS]. BA use cases to test: [LIST FROM THE CATALOGUE — e.g. meeting-notes-to-requirements, process map generation]. Constraints: [SECURITY POSTURE, DATA RULES, BUDGET]. The audience for this output: Practice sponsor and IT/security; the BAs who trialled it.</t>
  </si>
  <si>
    <t>Evaluate the candidate against real BA use cases and recommend adopt / trial / decline with evidence. Draft the evaluation (design before trial, findings after). Weight validation effort honestly — a tool that generates fast but validates slow may net negative. Before drafting, ask me up to 5 clarifying questions about anything missing, then wait for my answers.</t>
  </si>
  <si>
    <t>Evaluation design: use cases with success criteria each (quality vs current method, time saved, validation effort); trial protocol (who, how long, synthetic/de-identified data only); security and data assessment (where data goes, residency, retention — [VERIFY WITH VENDOR DOCUMENTATION]); cost model (licence + adoption effort). Findings per use case with evidence; recommendation (adopt/trial-extend/decline) with conditions; total honest cost of adoption including training.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</si>
  <si>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use-case finding: "Use case: meeting-notes → structured requirements. Result: draft quality 7/10, time 45→12 min, but validation took 15 min and caught 2 invented requirements not in the notes. Net: positive with mandatory Test step; adopt with guardrail. (Without validation: would have shipped fabrications — decline.)"</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</si>
  <si>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Candidate tool/capability: [NAME AND WHAT IT CLAIMS]. BA use cases to test: [LIST FROM THE CATALOGUE — e.g. meeting-notes-to-requirements, process map generation]. Constraints: [SECURITY POSTURE, DATA RULES, BUDGET]. The audience for this output: Practice sponsor and IT/security; the BAs who trialled it.
# ACTION
Evaluate the candidate against real BA use cases and recommend adopt / trial / decline with evidence. Draft the evaluation (design before trial, findings after). Weight validation effort honestly — a tool that generates fast but validates slow may net negative. Before drafting, ask me up to 5 clarifying questions about anything missing, then wait for my answers.
# RESULT / FORMAT
Evaluation design: use cases with success criteria each (quality vs current method, time saved, validation effort); trial protocol (who, how long, synthetic/de-identified data only); security and data assessment (where data goes, residency, retention — [VERIFY WITH VENDOR DOCUMENTATION]); cost model (licence + adoption effort). Findings per use case with evidence; recommendation (adopt/trial-extend/decline) with conditions; total honest cost of adoption including training.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use-case finding: "Use case: meeting-notes → structured requirements. Result: draft quality 7/10, time 45→12 min, but validation took 15 min and caught 2 invented requirements not in the notes. Net: positive with mandatory Test step; adopt with guardrail. (Without validation: would have shipped fabrications — decline.)"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</si>
  <si>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PL-07-D2</t>
  </si>
  <si>
    <t>AI Adoption Guidelines &amp; Guardrails (Practice)</t>
  </si>
  <si>
    <t>Tooling Standards; AI Adoption Guidelines &amp; Guardrails</t>
  </si>
  <si>
    <t>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Approved AI tools: [LIST]. Organisational AI policy: [PASTE OR REFERENCE]. Known incidents/near-misses: [ANY]. The audience for this output: All practice BAs; endorsed by security/privacy and the sponsor.</t>
  </si>
  <si>
    <t>Draft the practice's AI adoption guidelines: what BAs may use AI for, what they must never do, and the validation discipline that makes outputs trustworthy. Draft the guidelines. Where my organisational policy is stricter than these defaults, follow the policy and note it; where it is silent, mark the gap for the policy owner. Before drafting, ask me up to 5 clarifying questions about anything missing, then wait for my answers.</t>
  </si>
  <si>
    <t>Guidelines: approved uses by task type (drafting, summarising, analysis support, test scenario generation — each with its guardrail); prohibited uses (decisions about individuals, unreviewed outputs into governance artefacts, real personal or sensitive data as input — de-identified or synthetic only); the validation duty (Generate→Explain→Test on every substantive output, human accountable always); prompt quality expectations (use the practice prompt library; new prompts scored on the 10-criterion scorecard before sharing); transparency rule (when to disclose AI assistance); escalation path for uncertainty. Aligned to my pasted policy with conflicts flagged for resolution.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t>
  </si>
  <si>
    <t>Example prohibited-use line: "Prohibited: entering real customer, employee or other identifying information, or sensitive personal information, into any AI tool — approved or not. Use de-identified or synthetic data. No AI-generated content enters a governance artefact without named-human review recorded."</t>
  </si>
  <si>
    <t># CONTEXT
I am a BA practice lead. I am working on [PROJECT NAME AND ONE-LINE DESCRIPTION]. My work must respect my organisation's privacy, information-security and data-residency obligations. Everything I paste is de-identified or synthetic — if any input appears to contain real personal or sensitive data, stop and alert me before proceeding. Practice context: [PRACTICE SIZE, MIX OF PERMANENT/CONTRACT, DELIVERY PORTFOLIO SHAPE]. Approved AI tools: [LIST]. Organisational AI policy: [PASTE OR REFERENCE]. Known incidents/near-misses: [ANY]. The audience for this output: All practice BAs; endorsed by security/privacy and the sponsor.
# ACTION
Draft the practice's AI adoption guidelines: what BAs may use AI for, what they must never do, and the validation discipline that makes outputs trustworthy. Draft the guidelines. Where my organisational policy is stricter than these defaults, follow the policy and note it; where it is silent, mark the gap for the policy owner. Before drafting, ask me up to 5 clarifying questions about anything missing, then wait for my answers.
# RESULT / FORMAT
Guidelines: approved uses by task type (drafting, summarising, analysis support, test scenario generation — each with its guardrail); prohibited uses (decisions about individuals, unreviewed outputs into governance artefacts, real personal or sensitive data as input — de-identified or synthetic only); the validation duty (Generate→Explain→Test on every substantive output, human accountable always); prompt quality expectations (use the practice prompt library; new prompts scored on the 10-criterion scorecard before sharing); transparency rule (when to disclose AI assistance); escalation path for uncertainty. Aligned to my pasted policy with conflicts flagged for resolution. Keep the language professional, plain-English and appropriate for a business audience. Do not invent facts or figures: mark anything you could not verify from my inputs as [TBC] and any value you propose yourself as [PROPOSED — VALIDATE]. Treat the output as a first draft for my review, not a finished artefact.
# EXAMPLE
Example prohibited-use line: "Prohibited: entering real customer, employee or other identifying information, or sensitive personal information, into any AI tool — approved or not. Use de-identified or synthetic data. No AI-generated content enters a governance artefact without named-human review recorded."
# VALIDATION (GENERATE → EXPLAIN → TEST)
Generate: produce the output requested above.
Explain: then break down, step by step, the logic you used to synthesise your answer — how you interpreted each of my inputs and why you structured the output the way you did.
Test: list the source references you used for your analysis (my pasted inputs, earlier turns in this conversation, or your general knowledge — label which is which); cross-reference the key facts in your output against those sources and flag anything that does not trace back to a source; and list every additional assumption you made in your interpretation so I can verify or correct it.</t>
  </si>
  <si>
    <t>C1 Context</t>
  </si>
  <si>
    <t>C2 Action</t>
  </si>
  <si>
    <t>C3 Result</t>
  </si>
  <si>
    <t>C4 Example</t>
  </si>
  <si>
    <t>C5 Explain</t>
  </si>
  <si>
    <t>C6 Test</t>
  </si>
  <si>
    <t>C7 Anti-fab</t>
  </si>
  <si>
    <t>C8 Data safety</t>
  </si>
  <si>
    <t>C9 Reuse</t>
  </si>
  <si>
    <t>C10 Right-sized</t>
  </si>
  <si>
    <t>Total /20</t>
  </si>
  <si>
    <t>Verdict</t>
  </si>
  <si>
    <t>Deductions &amp; suggested fixes</t>
  </si>
  <si>
    <t>Action 1/2: a menu of modes, not one task — deliberate flexibility, but costs single-task clarity. Fix: for repeated use of one mode, use the matching Deliverable prompt instead.</t>
  </si>
  <si>
    <t>No deductions.</t>
  </si>
  <si>
    <t>Summary</t>
  </si>
  <si>
    <t>Prompts scored</t>
  </si>
  <si>
    <t>Average score</t>
  </si>
  <si>
    <t>Minimum / Maximum</t>
  </si>
  <si>
    <t>Library-ready (17–20)</t>
  </si>
  <si>
    <t>At 20/20</t>
  </si>
  <si>
    <t>At 19/20 (all Masters)</t>
  </si>
  <si>
    <t>v0.3 change: the two systematic v0.2 deductions were fixed at the template level — every prompt now carries an in-prompt data-safety rule (C8) and an explicit no-invention/[TBC] convention (C7). The only remaining deduction is C2 on the 42 Masters, which are multi-mode menus by design. Caveat unchanged: the library is designed against this rubric, so paper scores skew high — dry-run, consistency and intern tests on real (de-identified) work remain the stronger evidence.</t>
  </si>
  <si>
    <t>BA Prompt Quality Scorecard — score each criterion 0 (absent), 1 (partial), 2 (met)</t>
  </si>
  <si>
    <t>Group</t>
  </si>
  <si>
    <t>Criterion</t>
  </si>
  <si>
    <t>What good looks like</t>
  </si>
  <si>
    <t>Scoring anchors</t>
  </si>
  <si>
    <t>Score (0/1/2)</t>
  </si>
  <si>
    <t>CARE structure</t>
  </si>
  <si>
    <t>1. Context</t>
  </si>
  <si>
    <t>States who you are (role + organisation) and who the audience for the output is.</t>
  </si>
  <si>
    <t>0 = neither; 1 = role or audience only; 2 = both, plus relevant constraints (e.g. privacy, residency).</t>
  </si>
  <si>
    <t>2. Action</t>
  </si>
  <si>
    <t>One clear task with a strong verb; inputs the AI will receive are identified.</t>
  </si>
  <si>
    <t>0 = vague ('help me with...'); 1 = clear task but inputs/scope unclear; 2 = clear task, named inputs, explicit scope.</t>
  </si>
  <si>
    <t>3. Result / Format</t>
  </si>
  <si>
    <t>Output structure is specific enough that you could check compliance (sections, table columns, length).</t>
  </si>
  <si>
    <t>0 = no format; 1 = loose ('a summary', 'a table'); 2 = exact structure a reviewer could tick off.</t>
  </si>
  <si>
    <t>4. Example</t>
  </si>
  <si>
    <t>Gives a concrete reference point — a sample row, snippet, or 'in the style of' anchor.</t>
  </si>
  <si>
    <t>0 = none; 1 = abstract description of an example; 2 = a real, concrete sample the AI can imitate.</t>
  </si>
  <si>
    <t>BA validation (G.E.T.)</t>
  </si>
  <si>
    <t>5. Explain step</t>
  </si>
  <si>
    <t>Asks the AI to break down the logic used to synthesise the answer.</t>
  </si>
  <si>
    <t>0 = absent; 1 = generic 'explain yourself'; 2 = explicit step-by-step reasoning tied to the inputs.</t>
  </si>
  <si>
    <t>6. Test step</t>
  </si>
  <si>
    <t>Asks for source references, cross-referencing of facts, and a list of assumptions made.</t>
  </si>
  <si>
    <t>0 = absent; 1 = sources or assumptions, not both; 2 = sources + cross-reference + assumptions.</t>
  </si>
  <si>
    <t>7. Anti-fabrication</t>
  </si>
  <si>
    <t>Forbids invented facts/figures; unknowns must be flagged (e.g. [TBC], [PROPOSED — VALIDATE]).</t>
  </si>
  <si>
    <t>0 = silent; 1 = implied; 2 = explicit prohibition + a flagging convention.</t>
  </si>
  <si>
    <t>Safety &amp; reuse</t>
  </si>
  <si>
    <t>8. Data safety</t>
  </si>
  <si>
    <t>Does not require sensitive data; tells the user to de-identify inputs where relevant.</t>
  </si>
  <si>
    <t>0 = invites pasting sensitive data; 1 = silent; 2 = explicit de-identification guidance.</t>
  </si>
  <si>
    <t>9. Reusability</t>
  </si>
  <si>
    <t>Placeholders are [MARKED]; the prompt works beyond one project or person.</t>
  </si>
  <si>
    <t>0 = hard-wired to one case; 1 = partly generic; 2 = fully parameterised with marked placeholders.</t>
  </si>
  <si>
    <t>10. Right-sized</t>
  </si>
  <si>
    <t>Every sentence changes the output; nothing is decoration ('would deleting this line change anything?').</t>
  </si>
  <si>
    <t>0 = padded or rambling; 1 = some dead weight; 2 = every element earns its place (long is fine if load-bearing).</t>
  </si>
  <si>
    <t>TOTAL (max 20)</t>
  </si>
  <si>
    <t>Legend: fill the yellow Score cells (0, 1 or 2). Total and verdict calculate automatically.</t>
  </si>
  <si>
    <t>Scoring bands</t>
  </si>
  <si>
    <t>Score</t>
  </si>
  <si>
    <t>Action</t>
  </si>
  <si>
    <t>17–20</t>
  </si>
  <si>
    <t>Library-ready</t>
  </si>
  <si>
    <t>Publish to the shared library with version and date.</t>
  </si>
  <si>
    <t>12–16</t>
  </si>
  <si>
    <t>Usable — refine first</t>
  </si>
  <si>
    <t>Works for personal use; fix the 0-score criteria before sharing.</t>
  </si>
  <si>
    <t>0–11</t>
  </si>
  <si>
    <t>Rework</t>
  </si>
  <si>
    <t>Re-draft against CARE before using — outputs will be unreliable.</t>
  </si>
  <si>
    <t>Worked example: existing CoPilot 'Level 5 process leveling' prompt — scored 17/20</t>
  </si>
  <si>
    <t>Reasoning</t>
  </si>
  <si>
    <t>Says 'I am working on a process flow' — role given loosely; audience for the assessment is never stated.</t>
  </si>
  <si>
    <t>Crisp: confirm all elements are Level 5 Tasks against the supplied hierarchy; input (attached diagram) named.</t>
  </si>
  <si>
    <t>Exact output table specified: | Process Element | Current Assessment | Appropriate Level | Reasoning | Suggested Revision |.</t>
  </si>
  <si>
    <t>The 6-level hierarchy definitions and 'characteristics of a Level 5 Task' give a strong reference point.</t>
  </si>
  <si>
    <t>Asks how the level assignment was validated and the criteria used for recommendations.</t>
  </si>
  <si>
    <t>Asks for references/frameworks used and inconsistencies, overlaps and gaps found.</t>
  </si>
  <si>
    <t>Nothing stops the AI inventing a framework citation; no flagging convention for uncertain assessments.</t>
  </si>
  <si>
    <t>Silent on whether the attached diagram may contain sensitive operational detail.</t>
  </si>
  <si>
    <t>Fully generic — works for any Level 5 diagram; nothing project-specific hard-wired.</t>
  </si>
  <si>
    <t>Long, but every section (hierarchy, criteria, characteristics, format) is load-bearing.</t>
  </si>
  <si>
    <t>Total</t>
  </si>
  <si>
    <t>17/20 → Library-ready. Improve: state the audience; add an anti-fabrication flag; add a de-identification note.</t>
  </si>
  <si>
    <t>Delivery Context (L4 sheet)</t>
  </si>
  <si>
    <t>Catalogue Status</t>
  </si>
  <si>
    <t>When you're doing this kind of work</t>
  </si>
  <si>
    <t>BA Services engaged</t>
  </si>
  <si>
    <t>Prompt IDs to start with</t>
  </si>
  <si>
    <t>Decomposition gaps flagged</t>
  </si>
  <si>
    <t>1. Tech Services (back-end ICT)</t>
  </si>
  <si>
    <t>Back-end, non-business-facing ICT projects: platform, integration, observability, security, environments, service readiness.</t>
  </si>
  <si>
    <t>Environment Access &amp; DevOps Enablement; Integration, Data &amp; Migration; Operational Engineering &amp; Observability; Platform Design &amp; Infrastructure; Security, Privacy &amp; Compliance; Service &amp; Operational Readiness</t>
  </si>
  <si>
    <t>TB-01-M, TB-01-D1, TB-01-D2, TB-02-M, TB-02-D1, TB-02-D2, TB-03-M, TB-03-D1, TB-03-D2, TB-04-M, TB-04-D1, TB-04-D2, TB-05-M, TB-05-D1, TB-05-D2, TB-06-M, TB-06-D1, TB-06-D2</t>
  </si>
  <si>
    <t>None flagged</t>
  </si>
  <si>
    <t>2. Procurement – Enablement</t>
  </si>
  <si>
    <t>Procuring a new system or services contract: RFI/RFT lifecycle, evaluation, vendor selection.</t>
  </si>
  <si>
    <t>Commercial, Licencing &amp; Vendor Mgmt; Business Project Discovery &amp; Problem Definition; Business Needs Assessments (Initial and High Level Requirements); Process Analysis &amp; Improvement; Functional Requirements Analysis &amp; Refinement; Solution Analysis &amp; Design Support; Stakeholder Analysis &amp; Engagement; Requirements Governance &amp; Traceability; Sizing, Estimation, Dependency and Prioritisation Management; Operational Readiness &amp; Transition; Benefits Realisation &amp; KPI Management; Testing &amp; Requirements Validation Support</t>
  </si>
  <si>
    <t>BT-03-M, BT-03-D1, BT-03-D2, BB-03-M, BB-03-D1, BB-03-D2, BB-02-M, BB-02-D1, BB-02-D2, BB-07-M, BB-07-D1, BB-07-D2, BB-06-M, BB-06-D1, BB-06-D2, BT-07-M, BT-07-D1, BT-07-D2, BT-08-M, BT-08-D1, BT-08-D2, BT-05-M, BT-05-D1, BT-05-D2, BT-06-M, BT-06-D1, BT-06-D2, BT-04-M, BT-04-D1, BT-04-D2, BB-01-M, BB-01-D1, BB-01-D2, BT-09-M, BT-09-D1, BT-09-D2</t>
  </si>
  <si>
    <t>GAP: procuring AI products/services (AI assurance criteria in RFT) not yet decomposed</t>
  </si>
  <si>
    <t>3. IT System – Update</t>
  </si>
  <si>
    <t>Updating functions, features or reports in an existing business-facing system.</t>
  </si>
  <si>
    <t>Defect &amp; Work-around Analysis; Business Needs Assessments (Initial and High Level Requirements); Functional Requirements Analysis &amp; Refinement; Process Analysis &amp; Improvement; Sizing, Estimation, Dependency and Prioritisation Management; Testing &amp; Requirements Validation Support; Operational Readiness &amp; Transition; Requirements Governance &amp; Traceability</t>
  </si>
  <si>
    <t>BB-05-M, BB-05-D1, BB-05-D2, BB-02-M, BB-02-D1, BB-02-D2, BB-06-M, BB-06-D1, BB-06-D2, BB-07-M, BB-07-D1, BB-07-D2, BT-06-M, BT-06-D1, BT-06-D2, BT-09-M, BT-09-D1, BT-09-D2, BT-04-M, BT-04-D1, BT-04-D2, BT-05-M, BT-05-D1, BT-05-D2</t>
  </si>
  <si>
    <t>GAP: stakeholder engagement for system updates not yet decomposed</t>
  </si>
  <si>
    <t>4. IT System – Agile</t>
  </si>
  <si>
    <t>Business-facing technology delivery on an agile cadence.</t>
  </si>
  <si>
    <t>Backlog Management (Agile); Agile Ceremony Facilitation &amp; Support; User Story Mapping &amp; Slicing; Just-in-Time Requirements Elaboration; Iteration &amp; Release Planning Support; Agile Metrics &amp; Flow Analysis; Agile Ways of Working Uplift</t>
  </si>
  <si>
    <t>BT-02-M, BT-02-D1, BT-02-D2, AB-01-M, AB-01-D1, AB-01-D2, AB-02-M, AB-02-D1, AB-02-D2, AB-03-M, AB-03-D1, AB-03-D2, AB-04-M, AB-04-D1, AB-04-D2, AB-05-M, AB-05-D1, AB-05-D2, AB-06-M, AB-06-D1, AB-06-D2</t>
  </si>
  <si>
    <t>GAPs: story sizing &amp; estimation; agile testing &amp; validation support not yet decomposed</t>
  </si>
  <si>
    <t>5. IT System – New / Transition</t>
  </si>
  <si>
    <t>Transitioning services to a new system, introducing a new system, or digitising a manual process.</t>
  </si>
  <si>
    <t>Business Project Discovery &amp; Problem Definition; Business Needs Assessments (Initial and High Level Requirements); Process Analysis &amp; Improvement; Functional Requirements Analysis &amp; Refinement; Solution Analysis &amp; Design Support; Integration, Data &amp; Migration; Operational Readiness &amp; Transition; Testing &amp; Requirements Validation Support; Stakeholder Analysis &amp; Engagement; Benefits Realisation &amp; KPI Management</t>
  </si>
  <si>
    <t>BB-03-M, BB-03-D1, BB-03-D2, BB-02-M, BB-02-D1, BB-02-D2, BB-07-M, BB-07-D1, BB-07-D2, BB-06-M, BB-06-D1, BB-06-D2, BT-07-M, BT-07-D1, BT-07-D2, TB-02-M, TB-02-D1, TB-02-D2, BT-04-M, BT-04-D1, BT-04-D2, BT-09-M, BT-09-D1, BT-09-D2, BT-08-M, BT-08-D1, BT-08-D2, BB-01-M, BB-01-D1, BB-01-D2</t>
  </si>
  <si>
    <t>6. Process – Design</t>
  </si>
  <si>
    <t>Re-engineering business processes for new or transformed outcomes or regulatory needs; includes process levelling (L1-L6 hierarchy) validation.</t>
  </si>
  <si>
    <t>Business Project Discovery &amp; Problem Definition; Process Analysis &amp; Improvement; Business Needs Assessments (Initial and High Level Requirements); Stakeholder Analysis &amp; Engagement; Benefits Realisation &amp; KPI Management; Operational Readiness &amp; Transition</t>
  </si>
  <si>
    <t>BB-03-M, BB-03-D1, BB-03-D2, BB-07-M, BB-07-D1, BB-07-D2, BB-02-M, BB-02-D1, BB-02-D2, BT-08-M, BT-08-D1, BT-08-D2, BB-01-M, BB-01-D1, BB-01-D2, BT-04-M, BT-04-D1, BT-04-D2</t>
  </si>
  <si>
    <t>7. Process – Improvement</t>
  </si>
  <si>
    <t>Assessing and modifying existing processes to rectify risks or improve service outcomes.</t>
  </si>
  <si>
    <t>Process Analysis &amp; Improvement; Defect &amp; Work-around Analysis; Benefits Realisation &amp; KPI Management; Stakeholder Analysis &amp; Engagement</t>
  </si>
  <si>
    <t>BB-07-M, BB-07-D1, BB-07-D2, BB-05-M, BB-05-D1, BB-05-D2, BB-01-M, BB-01-D1, BB-01-D2, BT-08-M, BT-08-D1, BT-08-D2</t>
  </si>
  <si>
    <t>8. Consultancy</t>
  </si>
  <si>
    <t>Business consultancy: capability assessment/audit, decision support, strategic costing, organisational impact, strategic alignment, business architecture.</t>
  </si>
  <si>
    <t>Strategic Business Analysis &amp; Advisory; Business Project Discovery &amp; Problem Definition</t>
  </si>
  <si>
    <t>BB-08-M, BB-08-D1, BB-08-D2, BB-03-M, BB-03-D1, BB-03-D2</t>
  </si>
  <si>
    <t>9. Data – Warehouse</t>
  </si>
  <si>
    <t>Data management projects across the medallion Bronze/Silver/Gold layers: business questions, BI specs, layer mapping, legacy analytics platform transition.</t>
  </si>
  <si>
    <t>Data &amp; Reporting Analysis; Integration, Data &amp; Migration; Testing &amp; Requirements Validation Support; Stakeholder Analysis &amp; Engagement</t>
  </si>
  <si>
    <t>BB-04-M, BB-04-D1, BB-04-D2, TB-02-M, TB-02-D1, TB-02-D2, BT-09-M, BT-09-D1, BT-09-D2, BT-08-M, BT-08-D1, BT-08-D2</t>
  </si>
  <si>
    <t>GAP: governance &amp; traceability of BI requirements not yet decomposed</t>
  </si>
  <si>
    <t>10. AI – Agentic</t>
  </si>
  <si>
    <t>Solutions delivered on agentic AI platforms: use case &amp; assurance, agent behaviour, grounding/RAG, responsible AI, consumption controls, sustainability.</t>
  </si>
  <si>
    <t>AI Transformation; Security, Privacy &amp; Compliance; Commercial, Licencing &amp; Vendor Mgmt; Service &amp; Operational Readiness; Benefits Realisation &amp; KPI Management; Solution Analysis &amp; Design Support</t>
  </si>
  <si>
    <t>BT-01-M, BT-01-D1, BT-01-D2, TB-05-M, TB-05-D1, TB-05-D2, BT-03-M, BT-03-D1, BT-03-D2, TB-06-M, TB-06-D1, TB-06-D2, BB-01-M, BB-01-D1, BB-01-D2, BT-07-M, BT-07-D1, BT-07-D2</t>
  </si>
  <si>
    <t>GAPs: traceability of agent requirements &amp; decisions; agent evaluation &amp; testing support not yet decomposed</t>
  </si>
  <si>
    <t>11. Leadership</t>
  </si>
  <si>
    <t>Lead BA and Practice Lead services: planning, leading, assuring and uplifting BA delivery.</t>
  </si>
  <si>
    <t>BA Engagement Planning &amp; Estimation; BA Team Leadership &amp; Work Allocation; Requirements Quality Assurance &amp; Review; Cross-Stream Scope &amp; Dependency Coordination; Senior Stakeholder &amp; Sponsor Engagement; BA Mentoring &amp; Capability Development; BA Practice Strategy &amp; Operating Model; Standards, Methods &amp; Templates; Capability &amp; Competency Management; Workforce &amp; Resource Management; Practice Performance &amp; Continuous Improvement; Community of Practice &amp; Knowledge Management; Tooling &amp; AI Enablement</t>
  </si>
  <si>
    <t>LB-01-M, LB-01-D1, LB-01-D2, LB-02-M, LB-02-D1, LB-02-D2, LB-03-M, LB-03-D1, LB-03-D2, LB-04-M, LB-04-D1, LB-04-D2, LB-05-M, LB-05-D1, LB-05-D2, LB-06-M, LB-06-D1, LB-06-D2, PL-01-M, PL-01-D1, PL-01-D2, PL-02-M, PL-02-D1, PL-02-D2, PL-03-M, PL-03-D1, PL-03-D2, PL-04-M, PL-04-D1, PL-04-D2, PL-05-M, PL-05-D1, PL-05-D2, PL-06-M, PL-06-D1, PL-06-D2, PL-07-M, PL-07-D1, PL-07-D2</t>
  </si>
  <si>
    <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</si>
</sst>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F3864"/>
      <name val="Arial"/>
      <charset val="1"/>
    </font>
    <font>
      <i/>
      <sz val="9"/>
      <color rgb="FF595959"/>
      <name val="Arial"/>
      <charset val="1"/>
    </font>
    <font>
      <b/>
      <sz val="12"/>
      <color rgb="FF1F3864"/>
      <name val="Arial"/>
      <charset val="1"/>
    </font>
    <font>
      <b/>
      <sz val="10"/>
      <name val="Arial"/>
      <charset val="1"/>
    </font>
    <font>
      <sz val="10"/>
      <name val="Arial"/>
      <charset val="1"/>
    </font>
    <font>
      <b/>
      <sz val="10"/>
      <color rgb="FFFFFFFF"/>
      <name val="Arial"/>
      <charset val="1"/>
    </font>
    <font>
      <b/>
      <sz val="9"/>
      <name val="Arial"/>
      <charset val="1"/>
    </font>
    <font>
      <sz val="9"/>
      <name val="Arial"/>
      <charset val="1"/>
    </font>
    <font>
      <b/>
      <sz val="9"/>
      <color rgb="FFFFFFFF"/>
      <name val="Arial"/>
      <charset val="1"/>
    </font>
    <font>
      <b/>
      <sz val="14"/>
      <color rgb="FF1F3864"/>
      <name val="Arial"/>
      <charset val="1"/>
    </font>
    <font>
      <i/>
      <sz val="9"/>
      <name val="Arial"/>
      <charset val="1"/>
    </font>
  </fonts>
  <fills count="13">
    <fill>
      <patternFill patternType="none"/>
    </fill>
    <fill>
      <patternFill patternType="gray125"/>
    </fill>
    <fill>
      <patternFill patternType="solid">
        <fgColor rgb="FF1F3864"/>
        <bgColor rgb="FF333333"/>
      </patternFill>
    </fill>
    <fill>
      <patternFill patternType="solid">
        <fgColor rgb="FFDDEBF7"/>
        <bgColor rgb="FFD9E1F2"/>
      </patternFill>
    </fill>
    <fill>
      <patternFill patternType="solid">
        <fgColor rgb="FFD9D2E9"/>
        <bgColor rgb="FFD9E1F2"/>
      </patternFill>
    </fill>
    <fill>
      <patternFill patternType="solid">
        <fgColor rgb="FFE2EFDA"/>
        <bgColor rgb="FFDDEBF7"/>
      </patternFill>
    </fill>
    <fill>
      <patternFill patternType="solid">
        <fgColor rgb="FFFCE4D6"/>
        <bgColor rgb="FFFFF2CC"/>
      </patternFill>
    </fill>
    <fill>
      <patternFill patternType="solid">
        <fgColor rgb="FFFFF2CC"/>
        <bgColor rgb="FFFCE4D6"/>
      </patternFill>
    </fill>
    <fill>
      <patternFill patternType="solid">
        <fgColor rgb="FFE6E0EC"/>
        <bgColor rgb="FFD9E1F2"/>
      </patternFill>
    </fill>
    <fill>
      <patternFill patternType="solid">
        <fgColor rgb="FFD9E1F2"/>
        <bgColor rgb="FFE6E0EC"/>
      </patternFill>
    </fill>
    <fill>
      <patternFill patternType="solid">
        <fgColor rgb="FFC6EFCE"/>
        <bgColor rgb="FFE2EFDA"/>
      </patternFill>
    </fill>
    <fill>
      <patternFill patternType="solid">
        <fgColor rgb="FFFFEB9C"/>
        <bgColor rgb="FFFFF2CC"/>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2"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5" fillId="0" borderId="0" xfId="0" applyFont="1"/>
    <xf numFmtId="0" fontId="6" fillId="2" borderId="1" xfId="0" applyFont="1" applyFill="1" applyBorder="1" applyAlignment="1">
      <alignment vertical="top" wrapText="1"/>
    </xf>
    <xf numFmtId="0" fontId="7" fillId="0" borderId="1" xfId="0" applyFont="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8" fillId="3" borderId="1" xfId="0" applyFont="1" applyFill="1" applyBorder="1" applyAlignment="1">
      <alignment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7" fillId="7" borderId="1" xfId="0" applyFont="1" applyFill="1" applyBorder="1" applyAlignment="1">
      <alignment vertical="top" wrapText="1"/>
    </xf>
    <xf numFmtId="0" fontId="8" fillId="7" borderId="1" xfId="0" applyFont="1" applyFill="1" applyBorder="1" applyAlignment="1">
      <alignment vertical="top" wrapText="1"/>
    </xf>
    <xf numFmtId="0" fontId="7" fillId="8" borderId="1" xfId="0" applyFont="1" applyFill="1" applyBorder="1" applyAlignment="1">
      <alignment vertical="top" wrapText="1"/>
    </xf>
    <xf numFmtId="0" fontId="8" fillId="8" borderId="1" xfId="0" applyFont="1" applyFill="1" applyBorder="1" applyAlignment="1">
      <alignment vertical="top" wrapText="1"/>
    </xf>
    <xf numFmtId="0" fontId="7" fillId="9" borderId="1" xfId="0" applyFont="1" applyFill="1" applyBorder="1" applyAlignment="1">
      <alignment vertical="top" wrapText="1"/>
    </xf>
    <xf numFmtId="0" fontId="8" fillId="9" borderId="1" xfId="0" applyFont="1" applyFill="1" applyBorder="1" applyAlignment="1">
      <alignment vertical="top" wrapText="1"/>
    </xf>
    <xf numFmtId="0" fontId="9" fillId="2" borderId="1" xfId="0" applyFont="1" applyFill="1" applyBorder="1" applyAlignment="1">
      <alignment vertical="top" wrapText="1"/>
    </xf>
    <xf numFmtId="0" fontId="8" fillId="10" borderId="1" xfId="0" applyFont="1" applyFill="1" applyBorder="1" applyAlignment="1">
      <alignment vertical="top" wrapText="1"/>
    </xf>
    <xf numFmtId="0" fontId="8" fillId="11" borderId="1" xfId="0" applyFont="1" applyFill="1" applyBorder="1" applyAlignment="1">
      <alignment vertical="top" wrapText="1"/>
    </xf>
    <xf numFmtId="0" fontId="7" fillId="0" borderId="0" xfId="0" applyFont="1"/>
    <xf numFmtId="0" fontId="8" fillId="0" borderId="0" xfId="0" applyFont="1"/>
    <xf numFmtId="0" fontId="10" fillId="0" borderId="0" xfId="0" applyFont="1"/>
    <xf numFmtId="0" fontId="8" fillId="12" borderId="1" xfId="0" applyFont="1" applyFill="1" applyBorder="1" applyAlignment="1">
      <alignment vertical="top" wrapText="1"/>
    </xf>
    <xf numFmtId="0" fontId="4" fillId="0" borderId="1" xfId="0" applyFont="1" applyBorder="1"/>
    <xf numFmtId="0" fontId="11"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E2EFDA"/>
      <rgbColor rgb="FFC6EFCE"/>
      <rgbColor rgb="FFFFEB9C"/>
      <rgbColor rgb="FFD9E1F2"/>
      <rgbColor rgb="FFFF99CC"/>
      <rgbColor rgb="FFE6E0EC"/>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9"/>
  <sheetViews>
    <sheetView showGridLines="0" topLeftCell="A19" zoomScaleNormal="100" workbookViewId="0">
      <selection activeCell="C13" sqref="C13"/>
    </sheetView>
  </sheetViews>
  <sheetFormatPr defaultColWidth="8.6640625" defaultRowHeight="14.4" x14ac:dyDescent="0.3"/>
  <cols>
    <col min="1" max="1" width="3" customWidth="1"/>
    <col min="2" max="2" width="22" customWidth="1"/>
    <col min="3" max="3" width="95" customWidth="1"/>
  </cols>
  <sheetData>
    <row r="1" spans="2:3" ht="21" customHeight="1" x14ac:dyDescent="0.4">
      <c r="B1" s="2" t="s">
        <v>0</v>
      </c>
    </row>
    <row r="2" spans="2:3" ht="14.25" customHeight="1" x14ac:dyDescent="0.3">
      <c r="B2" s="3" t="s">
        <v>1</v>
      </c>
    </row>
    <row r="4" spans="2:3" ht="15" customHeight="1" x14ac:dyDescent="0.3">
      <c r="B4" s="4" t="s">
        <v>2</v>
      </c>
    </row>
    <row r="5" spans="2:3" ht="55.5" customHeight="1" x14ac:dyDescent="0.3">
      <c r="B5" s="5" t="s">
        <v>3</v>
      </c>
      <c r="C5" s="6" t="s">
        <v>4</v>
      </c>
    </row>
    <row r="6" spans="2:3" ht="27.75" customHeight="1" x14ac:dyDescent="0.3">
      <c r="B6" s="5" t="s">
        <v>5</v>
      </c>
      <c r="C6" s="6" t="s">
        <v>6</v>
      </c>
    </row>
    <row r="7" spans="2:3" ht="27.75" customHeight="1" x14ac:dyDescent="0.3">
      <c r="B7" s="5" t="s">
        <v>7</v>
      </c>
      <c r="C7" s="6" t="s">
        <v>8</v>
      </c>
    </row>
    <row r="8" spans="2:3" ht="42" customHeight="1" x14ac:dyDescent="0.3">
      <c r="B8" s="5" t="s">
        <v>9</v>
      </c>
      <c r="C8" s="6" t="s">
        <v>10</v>
      </c>
    </row>
    <row r="9" spans="2:3" ht="27.75" customHeight="1" x14ac:dyDescent="0.3">
      <c r="B9" s="5"/>
      <c r="C9" s="6"/>
    </row>
    <row r="11" spans="2:3" ht="15" customHeight="1" x14ac:dyDescent="0.3">
      <c r="B11" s="4" t="s">
        <v>11</v>
      </c>
    </row>
    <row r="12" spans="2:3" ht="27.75" customHeight="1" x14ac:dyDescent="0.3">
      <c r="B12" s="5" t="s">
        <v>12</v>
      </c>
      <c r="C12" s="6" t="s">
        <v>13</v>
      </c>
    </row>
    <row r="13" spans="2:3" x14ac:dyDescent="0.3">
      <c r="B13" s="5" t="s">
        <v>14</v>
      </c>
      <c r="C13" s="6" t="s">
        <v>15</v>
      </c>
    </row>
    <row r="14" spans="2:3" ht="27.75" customHeight="1" x14ac:dyDescent="0.3">
      <c r="B14" s="5" t="s">
        <v>16</v>
      </c>
      <c r="C14" s="6" t="s">
        <v>17</v>
      </c>
    </row>
    <row r="15" spans="2:3" x14ac:dyDescent="0.3">
      <c r="B15" s="5" t="s">
        <v>18</v>
      </c>
      <c r="C15" s="6" t="s">
        <v>19</v>
      </c>
    </row>
    <row r="16" spans="2:3" ht="27.75" customHeight="1" x14ac:dyDescent="0.3">
      <c r="B16" s="5" t="s">
        <v>20</v>
      </c>
      <c r="C16" s="6" t="s">
        <v>21</v>
      </c>
    </row>
    <row r="18" spans="2:3" ht="15" customHeight="1" x14ac:dyDescent="0.3">
      <c r="B18" s="4" t="s">
        <v>22</v>
      </c>
    </row>
    <row r="19" spans="2:3" ht="27.75" customHeight="1" x14ac:dyDescent="0.3">
      <c r="B19" s="5" t="s">
        <v>23</v>
      </c>
      <c r="C19" s="6" t="s">
        <v>24</v>
      </c>
    </row>
    <row r="20" spans="2:3" ht="39.6" x14ac:dyDescent="0.3">
      <c r="B20" s="5" t="s">
        <v>25</v>
      </c>
      <c r="C20" s="6" t="s">
        <v>26</v>
      </c>
    </row>
    <row r="21" spans="2:3" ht="57.6" x14ac:dyDescent="0.3">
      <c r="B21" t="s">
        <v>27</v>
      </c>
      <c r="C21" s="33" t="s">
        <v>28</v>
      </c>
    </row>
    <row r="22" spans="2:3" ht="15" customHeight="1" x14ac:dyDescent="0.3">
      <c r="B22" s="4" t="s">
        <v>29</v>
      </c>
    </row>
    <row r="23" spans="2:3" ht="14.25" customHeight="1" x14ac:dyDescent="0.3">
      <c r="B23" s="5" t="s">
        <v>30</v>
      </c>
      <c r="C23" s="7">
        <f>COUNTA('Prompt Library'!A2:A200)</f>
        <v>126</v>
      </c>
    </row>
    <row r="24" spans="2:3" ht="14.25" customHeight="1" x14ac:dyDescent="0.3">
      <c r="B24" s="5" t="s">
        <v>31</v>
      </c>
      <c r="C24" s="7">
        <f>COUNTIF('Prompt Library'!E2:E200,"Master")</f>
        <v>42</v>
      </c>
    </row>
    <row r="25" spans="2:3" ht="14.25" customHeight="1" x14ac:dyDescent="0.3">
      <c r="B25" s="5" t="s">
        <v>32</v>
      </c>
      <c r="C25" s="7">
        <f>COUNTIF('Prompt Library'!E2:E200,"Deliverable")</f>
        <v>84</v>
      </c>
    </row>
    <row r="26" spans="2:3" ht="14.25" customHeight="1" x14ac:dyDescent="0.3">
      <c r="B26" s="5" t="s">
        <v>33</v>
      </c>
      <c r="C26" s="7">
        <f>SUMPRODUCT(('Prompt Library'!C2:C127&lt;&gt;"")/COUNTIF('Prompt Library'!C2:C127,'Prompt Library'!C2:C127&amp;""))</f>
        <v>42.000000000000021</v>
      </c>
    </row>
    <row r="27" spans="2:3" ht="14.25" customHeight="1" x14ac:dyDescent="0.3">
      <c r="B27" s="5" t="s">
        <v>34</v>
      </c>
      <c r="C27" s="7">
        <f>ROUND(AVERAGE('Prompt Scores'!O2:O127),2)</f>
        <v>19.670000000000002</v>
      </c>
    </row>
    <row r="28" spans="2:3" ht="14.25" customHeight="1" x14ac:dyDescent="0.3">
      <c r="B28" s="5"/>
      <c r="C28" s="7"/>
    </row>
    <row r="29" spans="2:3" ht="55.5" customHeight="1" x14ac:dyDescent="0.3">
      <c r="B29" s="4" t="s">
        <v>35</v>
      </c>
      <c r="C29" s="6" t="s">
        <v>36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7"/>
  <sheetViews>
    <sheetView tabSelected="1" zoomScaleNormal="100" workbookViewId="0">
      <pane xSplit="4" ySplit="1" topLeftCell="E102" activePane="bottomRight" state="frozen"/>
      <selection pane="topRight" activeCell="K1" sqref="K1"/>
      <selection pane="bottomLeft" activeCell="A2" sqref="A2"/>
      <selection pane="bottomRight" activeCell="H127" sqref="H127"/>
    </sheetView>
  </sheetViews>
  <sheetFormatPr defaultColWidth="8.6640625" defaultRowHeight="14.4" x14ac:dyDescent="0.3"/>
  <cols>
    <col min="1" max="1" width="9" customWidth="1"/>
    <col min="2" max="2" width="14" customWidth="1"/>
    <col min="3" max="3" width="26" customWidth="1"/>
    <col min="4" max="4" width="28" customWidth="1"/>
    <col min="5" max="5" width="11" customWidth="1"/>
    <col min="6" max="6" width="28" customWidth="1"/>
    <col min="7" max="8" width="55" customWidth="1"/>
    <col min="9" max="10" width="50" customWidth="1"/>
    <col min="11" max="11" width="40" customWidth="1"/>
    <col min="12" max="12" width="80" customWidth="1"/>
  </cols>
  <sheetData>
    <row r="1" spans="1:12" ht="14.25" customHeight="1" x14ac:dyDescent="0.3">
      <c r="A1" s="8" t="s">
        <v>37</v>
      </c>
      <c r="B1" s="8" t="s">
        <v>38</v>
      </c>
      <c r="C1" s="8" t="s">
        <v>39</v>
      </c>
      <c r="D1" s="8" t="s">
        <v>40</v>
      </c>
      <c r="E1" s="8" t="s">
        <v>41</v>
      </c>
      <c r="F1" s="8" t="s">
        <v>42</v>
      </c>
      <c r="G1" s="8" t="s">
        <v>12</v>
      </c>
      <c r="H1" s="8" t="s">
        <v>14</v>
      </c>
      <c r="I1" s="8" t="s">
        <v>16</v>
      </c>
      <c r="J1" s="8" t="s">
        <v>18</v>
      </c>
      <c r="K1" s="8" t="s">
        <v>43</v>
      </c>
      <c r="L1" s="8" t="s">
        <v>44</v>
      </c>
    </row>
    <row r="2" spans="1:12" ht="150" customHeight="1" x14ac:dyDescent="0.3">
      <c r="A2" s="9" t="s">
        <v>45</v>
      </c>
      <c r="B2" s="10" t="s">
        <v>46</v>
      </c>
      <c r="C2" s="9" t="s">
        <v>47</v>
      </c>
      <c r="D2" s="9" t="s">
        <v>48</v>
      </c>
      <c r="E2" s="11" t="s">
        <v>49</v>
      </c>
      <c r="F2" s="9" t="s">
        <v>50</v>
      </c>
      <c r="G2" s="12" t="s">
        <v>51</v>
      </c>
      <c r="H2" s="12" t="s">
        <v>52</v>
      </c>
      <c r="I2" s="12" t="s">
        <v>53</v>
      </c>
      <c r="J2" s="12" t="s">
        <v>54</v>
      </c>
      <c r="K2" s="12" t="s">
        <v>55</v>
      </c>
      <c r="L2" s="12" t="s">
        <v>56</v>
      </c>
    </row>
    <row r="3" spans="1:12" ht="150" customHeight="1" x14ac:dyDescent="0.3">
      <c r="A3" s="12" t="s">
        <v>57</v>
      </c>
      <c r="B3" s="13" t="s">
        <v>46</v>
      </c>
      <c r="C3" s="12" t="s">
        <v>47</v>
      </c>
      <c r="D3" s="12" t="s">
        <v>58</v>
      </c>
      <c r="E3" s="12" t="s">
        <v>59</v>
      </c>
      <c r="F3" s="12" t="s">
        <v>60</v>
      </c>
      <c r="G3" s="12" t="s">
        <v>61</v>
      </c>
      <c r="H3" s="12" t="s">
        <v>62</v>
      </c>
      <c r="I3" s="12" t="s">
        <v>63</v>
      </c>
      <c r="J3" s="12" t="s">
        <v>64</v>
      </c>
      <c r="K3" s="12" t="s">
        <v>55</v>
      </c>
      <c r="L3" s="12" t="s">
        <v>65</v>
      </c>
    </row>
    <row r="4" spans="1:12" ht="150" customHeight="1" x14ac:dyDescent="0.3">
      <c r="A4" s="12" t="s">
        <v>66</v>
      </c>
      <c r="B4" s="13" t="s">
        <v>46</v>
      </c>
      <c r="C4" s="12" t="s">
        <v>47</v>
      </c>
      <c r="D4" s="12" t="s">
        <v>67</v>
      </c>
      <c r="E4" s="12" t="s">
        <v>59</v>
      </c>
      <c r="F4" s="12" t="s">
        <v>68</v>
      </c>
      <c r="G4" s="12" t="s">
        <v>69</v>
      </c>
      <c r="H4" s="12" t="s">
        <v>70</v>
      </c>
      <c r="I4" s="12" t="s">
        <v>71</v>
      </c>
      <c r="J4" s="12" t="s">
        <v>72</v>
      </c>
      <c r="K4" s="12" t="s">
        <v>55</v>
      </c>
      <c r="L4" s="12" t="s">
        <v>73</v>
      </c>
    </row>
    <row r="5" spans="1:12" ht="150" customHeight="1" x14ac:dyDescent="0.3">
      <c r="A5" s="9" t="s">
        <v>74</v>
      </c>
      <c r="B5" s="10" t="s">
        <v>46</v>
      </c>
      <c r="C5" s="9" t="s">
        <v>75</v>
      </c>
      <c r="D5" s="9" t="s">
        <v>76</v>
      </c>
      <c r="E5" s="11" t="s">
        <v>49</v>
      </c>
      <c r="F5" s="9" t="s">
        <v>77</v>
      </c>
      <c r="G5" s="12" t="s">
        <v>78</v>
      </c>
      <c r="H5" s="12" t="s">
        <v>79</v>
      </c>
      <c r="I5" s="12" t="s">
        <v>80</v>
      </c>
      <c r="J5" s="12" t="s">
        <v>81</v>
      </c>
      <c r="K5" s="12" t="s">
        <v>55</v>
      </c>
      <c r="L5" s="12" t="s">
        <v>82</v>
      </c>
    </row>
    <row r="6" spans="1:12" ht="150" customHeight="1" x14ac:dyDescent="0.3">
      <c r="A6" s="12" t="s">
        <v>83</v>
      </c>
      <c r="B6" s="13" t="s">
        <v>46</v>
      </c>
      <c r="C6" s="12" t="s">
        <v>75</v>
      </c>
      <c r="D6" s="12" t="s">
        <v>84</v>
      </c>
      <c r="E6" s="12" t="s">
        <v>59</v>
      </c>
      <c r="F6" s="12" t="s">
        <v>85</v>
      </c>
      <c r="G6" s="12" t="s">
        <v>86</v>
      </c>
      <c r="H6" s="12" t="s">
        <v>87</v>
      </c>
      <c r="I6" s="12" t="s">
        <v>88</v>
      </c>
      <c r="J6" s="12" t="s">
        <v>89</v>
      </c>
      <c r="K6" s="12" t="s">
        <v>55</v>
      </c>
      <c r="L6" s="12" t="s">
        <v>90</v>
      </c>
    </row>
    <row r="7" spans="1:12" ht="150" customHeight="1" x14ac:dyDescent="0.3">
      <c r="A7" s="12" t="s">
        <v>91</v>
      </c>
      <c r="B7" s="13" t="s">
        <v>46</v>
      </c>
      <c r="C7" s="12" t="s">
        <v>75</v>
      </c>
      <c r="D7" s="12" t="s">
        <v>92</v>
      </c>
      <c r="E7" s="12" t="s">
        <v>59</v>
      </c>
      <c r="F7" s="12" t="s">
        <v>93</v>
      </c>
      <c r="G7" s="12" t="s">
        <v>94</v>
      </c>
      <c r="H7" s="12" t="s">
        <v>95</v>
      </c>
      <c r="I7" s="12" t="s">
        <v>96</v>
      </c>
      <c r="J7" s="12" t="s">
        <v>97</v>
      </c>
      <c r="K7" s="12" t="s">
        <v>55</v>
      </c>
      <c r="L7" s="12" t="s">
        <v>98</v>
      </c>
    </row>
    <row r="8" spans="1:12" ht="150" customHeight="1" x14ac:dyDescent="0.3">
      <c r="A8" s="9" t="s">
        <v>99</v>
      </c>
      <c r="B8" s="10" t="s">
        <v>46</v>
      </c>
      <c r="C8" s="9" t="s">
        <v>100</v>
      </c>
      <c r="D8" s="9" t="s">
        <v>101</v>
      </c>
      <c r="E8" s="11" t="s">
        <v>49</v>
      </c>
      <c r="F8" s="9" t="s">
        <v>102</v>
      </c>
      <c r="G8" s="12" t="s">
        <v>103</v>
      </c>
      <c r="H8" s="12" t="s">
        <v>104</v>
      </c>
      <c r="I8" s="12" t="s">
        <v>105</v>
      </c>
      <c r="J8" s="12" t="s">
        <v>106</v>
      </c>
      <c r="K8" s="12" t="s">
        <v>55</v>
      </c>
      <c r="L8" s="12" t="s">
        <v>107</v>
      </c>
    </row>
    <row r="9" spans="1:12" ht="150" customHeight="1" x14ac:dyDescent="0.3">
      <c r="A9" s="12" t="s">
        <v>108</v>
      </c>
      <c r="B9" s="13" t="s">
        <v>46</v>
      </c>
      <c r="C9" s="12" t="s">
        <v>100</v>
      </c>
      <c r="D9" s="12" t="s">
        <v>109</v>
      </c>
      <c r="E9" s="12" t="s">
        <v>59</v>
      </c>
      <c r="F9" s="12" t="s">
        <v>110</v>
      </c>
      <c r="G9" s="12" t="s">
        <v>111</v>
      </c>
      <c r="H9" s="12" t="s">
        <v>112</v>
      </c>
      <c r="I9" s="12" t="s">
        <v>113</v>
      </c>
      <c r="J9" s="12" t="s">
        <v>114</v>
      </c>
      <c r="K9" s="12" t="s">
        <v>55</v>
      </c>
      <c r="L9" s="12" t="s">
        <v>115</v>
      </c>
    </row>
    <row r="10" spans="1:12" ht="150" customHeight="1" x14ac:dyDescent="0.3">
      <c r="A10" s="12" t="s">
        <v>116</v>
      </c>
      <c r="B10" s="13" t="s">
        <v>46</v>
      </c>
      <c r="C10" s="12" t="s">
        <v>100</v>
      </c>
      <c r="D10" s="12" t="s">
        <v>117</v>
      </c>
      <c r="E10" s="12" t="s">
        <v>59</v>
      </c>
      <c r="F10" s="12" t="s">
        <v>118</v>
      </c>
      <c r="G10" s="12" t="s">
        <v>119</v>
      </c>
      <c r="H10" s="12" t="s">
        <v>120</v>
      </c>
      <c r="I10" s="12" t="s">
        <v>121</v>
      </c>
      <c r="J10" s="12" t="s">
        <v>122</v>
      </c>
      <c r="K10" s="12" t="s">
        <v>55</v>
      </c>
      <c r="L10" s="12" t="s">
        <v>123</v>
      </c>
    </row>
    <row r="11" spans="1:12" ht="150" customHeight="1" x14ac:dyDescent="0.3">
      <c r="A11" s="9" t="s">
        <v>124</v>
      </c>
      <c r="B11" s="10" t="s">
        <v>46</v>
      </c>
      <c r="C11" s="9" t="s">
        <v>125</v>
      </c>
      <c r="D11" s="9" t="s">
        <v>126</v>
      </c>
      <c r="E11" s="11" t="s">
        <v>49</v>
      </c>
      <c r="F11" s="9" t="s">
        <v>127</v>
      </c>
      <c r="G11" s="12" t="s">
        <v>128</v>
      </c>
      <c r="H11" s="12" t="s">
        <v>129</v>
      </c>
      <c r="I11" s="12" t="s">
        <v>130</v>
      </c>
      <c r="J11" s="12" t="s">
        <v>131</v>
      </c>
      <c r="K11" s="12" t="s">
        <v>55</v>
      </c>
      <c r="L11" s="12" t="s">
        <v>132</v>
      </c>
    </row>
    <row r="12" spans="1:12" ht="150" customHeight="1" x14ac:dyDescent="0.3">
      <c r="A12" s="12" t="s">
        <v>133</v>
      </c>
      <c r="B12" s="13" t="s">
        <v>46</v>
      </c>
      <c r="C12" s="12" t="s">
        <v>125</v>
      </c>
      <c r="D12" s="12" t="s">
        <v>134</v>
      </c>
      <c r="E12" s="12" t="s">
        <v>59</v>
      </c>
      <c r="F12" s="12" t="s">
        <v>135</v>
      </c>
      <c r="G12" s="12" t="s">
        <v>136</v>
      </c>
      <c r="H12" s="12" t="s">
        <v>137</v>
      </c>
      <c r="I12" s="12" t="s">
        <v>138</v>
      </c>
      <c r="J12" s="12" t="s">
        <v>139</v>
      </c>
      <c r="K12" s="12" t="s">
        <v>55</v>
      </c>
      <c r="L12" s="12" t="s">
        <v>140</v>
      </c>
    </row>
    <row r="13" spans="1:12" ht="150" customHeight="1" x14ac:dyDescent="0.3">
      <c r="A13" s="12" t="s">
        <v>141</v>
      </c>
      <c r="B13" s="13" t="s">
        <v>46</v>
      </c>
      <c r="C13" s="12" t="s">
        <v>125</v>
      </c>
      <c r="D13" s="12" t="s">
        <v>142</v>
      </c>
      <c r="E13" s="12" t="s">
        <v>59</v>
      </c>
      <c r="F13" s="12" t="s">
        <v>143</v>
      </c>
      <c r="G13" s="12" t="s">
        <v>144</v>
      </c>
      <c r="H13" s="12" t="s">
        <v>145</v>
      </c>
      <c r="I13" s="12" t="s">
        <v>146</v>
      </c>
      <c r="J13" s="12" t="s">
        <v>147</v>
      </c>
      <c r="K13" s="12" t="s">
        <v>55</v>
      </c>
      <c r="L13" s="12" t="s">
        <v>148</v>
      </c>
    </row>
    <row r="14" spans="1:12" ht="150" customHeight="1" x14ac:dyDescent="0.3">
      <c r="A14" s="9" t="s">
        <v>149</v>
      </c>
      <c r="B14" s="10" t="s">
        <v>46</v>
      </c>
      <c r="C14" s="9" t="s">
        <v>150</v>
      </c>
      <c r="D14" s="9" t="s">
        <v>151</v>
      </c>
      <c r="E14" s="11" t="s">
        <v>49</v>
      </c>
      <c r="F14" s="9" t="s">
        <v>152</v>
      </c>
      <c r="G14" s="12" t="s">
        <v>153</v>
      </c>
      <c r="H14" s="12" t="s">
        <v>154</v>
      </c>
      <c r="I14" s="12" t="s">
        <v>155</v>
      </c>
      <c r="J14" s="12" t="s">
        <v>156</v>
      </c>
      <c r="K14" s="12" t="s">
        <v>55</v>
      </c>
      <c r="L14" s="12" t="s">
        <v>157</v>
      </c>
    </row>
    <row r="15" spans="1:12" ht="150" customHeight="1" x14ac:dyDescent="0.3">
      <c r="A15" s="12" t="s">
        <v>158</v>
      </c>
      <c r="B15" s="13" t="s">
        <v>46</v>
      </c>
      <c r="C15" s="12" t="s">
        <v>150</v>
      </c>
      <c r="D15" s="12" t="s">
        <v>159</v>
      </c>
      <c r="E15" s="12" t="s">
        <v>59</v>
      </c>
      <c r="F15" s="12" t="s">
        <v>160</v>
      </c>
      <c r="G15" s="12" t="s">
        <v>161</v>
      </c>
      <c r="H15" s="12" t="s">
        <v>162</v>
      </c>
      <c r="I15" s="12" t="s">
        <v>163</v>
      </c>
      <c r="J15" s="12" t="s">
        <v>164</v>
      </c>
      <c r="K15" s="12" t="s">
        <v>55</v>
      </c>
      <c r="L15" s="12" t="s">
        <v>165</v>
      </c>
    </row>
    <row r="16" spans="1:12" ht="150" customHeight="1" x14ac:dyDescent="0.3">
      <c r="A16" s="12" t="s">
        <v>166</v>
      </c>
      <c r="B16" s="13" t="s">
        <v>46</v>
      </c>
      <c r="C16" s="12" t="s">
        <v>150</v>
      </c>
      <c r="D16" s="12" t="s">
        <v>167</v>
      </c>
      <c r="E16" s="12" t="s">
        <v>59</v>
      </c>
      <c r="F16" s="12" t="s">
        <v>168</v>
      </c>
      <c r="G16" s="12" t="s">
        <v>169</v>
      </c>
      <c r="H16" s="12" t="s">
        <v>170</v>
      </c>
      <c r="I16" s="12" t="s">
        <v>171</v>
      </c>
      <c r="J16" s="12" t="s">
        <v>172</v>
      </c>
      <c r="K16" s="12" t="s">
        <v>55</v>
      </c>
      <c r="L16" s="12" t="s">
        <v>173</v>
      </c>
    </row>
    <row r="17" spans="1:12" ht="150" customHeight="1" x14ac:dyDescent="0.3">
      <c r="A17" s="9" t="s">
        <v>174</v>
      </c>
      <c r="B17" s="10" t="s">
        <v>46</v>
      </c>
      <c r="C17" s="9" t="s">
        <v>175</v>
      </c>
      <c r="D17" s="9" t="s">
        <v>176</v>
      </c>
      <c r="E17" s="11" t="s">
        <v>49</v>
      </c>
      <c r="F17" s="9" t="s">
        <v>177</v>
      </c>
      <c r="G17" s="12" t="s">
        <v>178</v>
      </c>
      <c r="H17" s="12" t="s">
        <v>179</v>
      </c>
      <c r="I17" s="12" t="s">
        <v>180</v>
      </c>
      <c r="J17" s="12" t="s">
        <v>181</v>
      </c>
      <c r="K17" s="12" t="s">
        <v>55</v>
      </c>
      <c r="L17" s="12" t="s">
        <v>182</v>
      </c>
    </row>
    <row r="18" spans="1:12" ht="150" customHeight="1" x14ac:dyDescent="0.3">
      <c r="A18" s="12" t="s">
        <v>183</v>
      </c>
      <c r="B18" s="13" t="s">
        <v>46</v>
      </c>
      <c r="C18" s="12" t="s">
        <v>175</v>
      </c>
      <c r="D18" s="12" t="s">
        <v>184</v>
      </c>
      <c r="E18" s="12" t="s">
        <v>59</v>
      </c>
      <c r="F18" s="12" t="s">
        <v>185</v>
      </c>
      <c r="G18" s="12" t="s">
        <v>186</v>
      </c>
      <c r="H18" s="12" t="s">
        <v>187</v>
      </c>
      <c r="I18" s="12" t="s">
        <v>188</v>
      </c>
      <c r="J18" s="12" t="s">
        <v>189</v>
      </c>
      <c r="K18" s="12" t="s">
        <v>55</v>
      </c>
      <c r="L18" s="12" t="s">
        <v>190</v>
      </c>
    </row>
    <row r="19" spans="1:12" ht="150" customHeight="1" x14ac:dyDescent="0.3">
      <c r="A19" s="12" t="s">
        <v>191</v>
      </c>
      <c r="B19" s="13" t="s">
        <v>46</v>
      </c>
      <c r="C19" s="12" t="s">
        <v>175</v>
      </c>
      <c r="D19" s="12" t="s">
        <v>192</v>
      </c>
      <c r="E19" s="12" t="s">
        <v>59</v>
      </c>
      <c r="F19" s="12" t="s">
        <v>193</v>
      </c>
      <c r="G19" s="12" t="s">
        <v>194</v>
      </c>
      <c r="H19" s="12" t="s">
        <v>195</v>
      </c>
      <c r="I19" s="12" t="s">
        <v>196</v>
      </c>
      <c r="J19" s="12" t="s">
        <v>197</v>
      </c>
      <c r="K19" s="12" t="s">
        <v>55</v>
      </c>
      <c r="L19" s="12" t="s">
        <v>198</v>
      </c>
    </row>
    <row r="20" spans="1:12" ht="150" customHeight="1" x14ac:dyDescent="0.3">
      <c r="A20" s="9" t="s">
        <v>199</v>
      </c>
      <c r="B20" s="10" t="s">
        <v>46</v>
      </c>
      <c r="C20" s="9" t="s">
        <v>200</v>
      </c>
      <c r="D20" s="9" t="s">
        <v>201</v>
      </c>
      <c r="E20" s="11" t="s">
        <v>49</v>
      </c>
      <c r="F20" s="9" t="s">
        <v>202</v>
      </c>
      <c r="G20" s="12" t="s">
        <v>203</v>
      </c>
      <c r="H20" s="12" t="s">
        <v>204</v>
      </c>
      <c r="I20" s="12" t="s">
        <v>205</v>
      </c>
      <c r="J20" s="12" t="s">
        <v>206</v>
      </c>
      <c r="K20" s="12" t="s">
        <v>55</v>
      </c>
      <c r="L20" s="12" t="s">
        <v>207</v>
      </c>
    </row>
    <row r="21" spans="1:12" ht="150" customHeight="1" x14ac:dyDescent="0.3">
      <c r="A21" s="12" t="s">
        <v>208</v>
      </c>
      <c r="B21" s="13" t="s">
        <v>46</v>
      </c>
      <c r="C21" s="12" t="s">
        <v>200</v>
      </c>
      <c r="D21" s="12" t="s">
        <v>209</v>
      </c>
      <c r="E21" s="12" t="s">
        <v>59</v>
      </c>
      <c r="F21" s="12" t="s">
        <v>210</v>
      </c>
      <c r="G21" s="12" t="s">
        <v>211</v>
      </c>
      <c r="H21" s="12" t="s">
        <v>212</v>
      </c>
      <c r="I21" s="12" t="s">
        <v>213</v>
      </c>
      <c r="J21" s="12" t="s">
        <v>214</v>
      </c>
      <c r="K21" s="12" t="s">
        <v>55</v>
      </c>
      <c r="L21" s="12" t="s">
        <v>215</v>
      </c>
    </row>
    <row r="22" spans="1:12" ht="150" customHeight="1" x14ac:dyDescent="0.3">
      <c r="A22" s="12" t="s">
        <v>216</v>
      </c>
      <c r="B22" s="13" t="s">
        <v>46</v>
      </c>
      <c r="C22" s="12" t="s">
        <v>200</v>
      </c>
      <c r="D22" s="12" t="s">
        <v>217</v>
      </c>
      <c r="E22" s="12" t="s">
        <v>59</v>
      </c>
      <c r="F22" s="12" t="s">
        <v>218</v>
      </c>
      <c r="G22" s="12" t="s">
        <v>219</v>
      </c>
      <c r="H22" s="12" t="s">
        <v>220</v>
      </c>
      <c r="I22" s="12" t="s">
        <v>221</v>
      </c>
      <c r="J22" s="12" t="s">
        <v>222</v>
      </c>
      <c r="K22" s="12" t="s">
        <v>55</v>
      </c>
      <c r="L22" s="12" t="s">
        <v>223</v>
      </c>
    </row>
    <row r="23" spans="1:12" ht="150" customHeight="1" x14ac:dyDescent="0.3">
      <c r="A23" s="9" t="s">
        <v>224</v>
      </c>
      <c r="B23" s="10" t="s">
        <v>46</v>
      </c>
      <c r="C23" s="9" t="s">
        <v>225</v>
      </c>
      <c r="D23" s="9" t="s">
        <v>226</v>
      </c>
      <c r="E23" s="11" t="s">
        <v>49</v>
      </c>
      <c r="F23" s="9" t="s">
        <v>227</v>
      </c>
      <c r="G23" s="12" t="s">
        <v>228</v>
      </c>
      <c r="H23" s="12" t="s">
        <v>229</v>
      </c>
      <c r="I23" s="12" t="s">
        <v>230</v>
      </c>
      <c r="J23" s="12" t="s">
        <v>231</v>
      </c>
      <c r="K23" s="12" t="s">
        <v>55</v>
      </c>
      <c r="L23" s="12" t="s">
        <v>232</v>
      </c>
    </row>
    <row r="24" spans="1:12" ht="150" customHeight="1" x14ac:dyDescent="0.3">
      <c r="A24" s="12" t="s">
        <v>233</v>
      </c>
      <c r="B24" s="13" t="s">
        <v>46</v>
      </c>
      <c r="C24" s="12" t="s">
        <v>225</v>
      </c>
      <c r="D24" s="12" t="s">
        <v>234</v>
      </c>
      <c r="E24" s="12" t="s">
        <v>59</v>
      </c>
      <c r="F24" s="12" t="s">
        <v>235</v>
      </c>
      <c r="G24" s="12" t="s">
        <v>236</v>
      </c>
      <c r="H24" s="12" t="s">
        <v>237</v>
      </c>
      <c r="I24" s="12" t="s">
        <v>238</v>
      </c>
      <c r="J24" s="12" t="s">
        <v>239</v>
      </c>
      <c r="K24" s="12" t="s">
        <v>55</v>
      </c>
      <c r="L24" s="12" t="s">
        <v>240</v>
      </c>
    </row>
    <row r="25" spans="1:12" ht="150" customHeight="1" x14ac:dyDescent="0.3">
      <c r="A25" s="12" t="s">
        <v>241</v>
      </c>
      <c r="B25" s="13" t="s">
        <v>46</v>
      </c>
      <c r="C25" s="12" t="s">
        <v>225</v>
      </c>
      <c r="D25" s="12" t="s">
        <v>242</v>
      </c>
      <c r="E25" s="12" t="s">
        <v>59</v>
      </c>
      <c r="F25" s="12" t="s">
        <v>243</v>
      </c>
      <c r="G25" s="12" t="s">
        <v>244</v>
      </c>
      <c r="H25" s="12" t="s">
        <v>245</v>
      </c>
      <c r="I25" s="12" t="s">
        <v>246</v>
      </c>
      <c r="J25" s="12" t="s">
        <v>247</v>
      </c>
      <c r="K25" s="12" t="s">
        <v>55</v>
      </c>
      <c r="L25" s="12" t="s">
        <v>248</v>
      </c>
    </row>
    <row r="26" spans="1:12" ht="150" customHeight="1" x14ac:dyDescent="0.3">
      <c r="A26" s="9" t="s">
        <v>249</v>
      </c>
      <c r="B26" s="14" t="s">
        <v>250</v>
      </c>
      <c r="C26" s="9" t="s">
        <v>251</v>
      </c>
      <c r="D26" s="9" t="s">
        <v>252</v>
      </c>
      <c r="E26" s="11" t="s">
        <v>49</v>
      </c>
      <c r="F26" s="9" t="s">
        <v>253</v>
      </c>
      <c r="G26" s="12" t="s">
        <v>254</v>
      </c>
      <c r="H26" s="12" t="s">
        <v>255</v>
      </c>
      <c r="I26" s="12" t="s">
        <v>256</v>
      </c>
      <c r="J26" s="12" t="s">
        <v>257</v>
      </c>
      <c r="K26" s="12" t="s">
        <v>55</v>
      </c>
      <c r="L26" s="12" t="s">
        <v>258</v>
      </c>
    </row>
    <row r="27" spans="1:12" ht="150" customHeight="1" x14ac:dyDescent="0.3">
      <c r="A27" s="12" t="s">
        <v>259</v>
      </c>
      <c r="B27" s="15" t="s">
        <v>250</v>
      </c>
      <c r="C27" s="12" t="s">
        <v>251</v>
      </c>
      <c r="D27" s="12" t="s">
        <v>260</v>
      </c>
      <c r="E27" s="12" t="s">
        <v>59</v>
      </c>
      <c r="F27" s="12" t="s">
        <v>261</v>
      </c>
      <c r="G27" s="12" t="s">
        <v>262</v>
      </c>
      <c r="H27" s="12" t="s">
        <v>263</v>
      </c>
      <c r="I27" s="12" t="s">
        <v>264</v>
      </c>
      <c r="J27" s="12" t="s">
        <v>265</v>
      </c>
      <c r="K27" s="12" t="s">
        <v>55</v>
      </c>
      <c r="L27" s="12" t="s">
        <v>266</v>
      </c>
    </row>
    <row r="28" spans="1:12" ht="150" customHeight="1" x14ac:dyDescent="0.3">
      <c r="A28" s="12" t="s">
        <v>267</v>
      </c>
      <c r="B28" s="15" t="s">
        <v>250</v>
      </c>
      <c r="C28" s="12" t="s">
        <v>251</v>
      </c>
      <c r="D28" s="12" t="s">
        <v>268</v>
      </c>
      <c r="E28" s="12" t="s">
        <v>59</v>
      </c>
      <c r="F28" s="12" t="s">
        <v>269</v>
      </c>
      <c r="G28" s="12" t="s">
        <v>270</v>
      </c>
      <c r="H28" s="12" t="s">
        <v>271</v>
      </c>
      <c r="I28" s="12" t="s">
        <v>272</v>
      </c>
      <c r="J28" s="12" t="s">
        <v>273</v>
      </c>
      <c r="K28" s="12" t="s">
        <v>55</v>
      </c>
      <c r="L28" s="12" t="s">
        <v>274</v>
      </c>
    </row>
    <row r="29" spans="1:12" ht="150" customHeight="1" x14ac:dyDescent="0.3">
      <c r="A29" s="9" t="s">
        <v>275</v>
      </c>
      <c r="B29" s="14" t="s">
        <v>250</v>
      </c>
      <c r="C29" s="9" t="s">
        <v>276</v>
      </c>
      <c r="D29" s="9" t="s">
        <v>277</v>
      </c>
      <c r="E29" s="11" t="s">
        <v>49</v>
      </c>
      <c r="F29" s="9" t="s">
        <v>278</v>
      </c>
      <c r="G29" s="12" t="s">
        <v>279</v>
      </c>
      <c r="H29" s="12" t="s">
        <v>280</v>
      </c>
      <c r="I29" s="12" t="s">
        <v>281</v>
      </c>
      <c r="J29" s="12" t="s">
        <v>282</v>
      </c>
      <c r="K29" s="12" t="s">
        <v>55</v>
      </c>
      <c r="L29" s="12" t="s">
        <v>283</v>
      </c>
    </row>
    <row r="30" spans="1:12" ht="150" customHeight="1" x14ac:dyDescent="0.3">
      <c r="A30" s="12" t="s">
        <v>284</v>
      </c>
      <c r="B30" s="15" t="s">
        <v>250</v>
      </c>
      <c r="C30" s="12" t="s">
        <v>276</v>
      </c>
      <c r="D30" s="12" t="s">
        <v>285</v>
      </c>
      <c r="E30" s="12" t="s">
        <v>59</v>
      </c>
      <c r="F30" s="12" t="s">
        <v>278</v>
      </c>
      <c r="G30" s="12" t="s">
        <v>286</v>
      </c>
      <c r="H30" s="12" t="s">
        <v>287</v>
      </c>
      <c r="I30" s="12" t="s">
        <v>288</v>
      </c>
      <c r="J30" s="12" t="s">
        <v>289</v>
      </c>
      <c r="K30" s="12" t="s">
        <v>55</v>
      </c>
      <c r="L30" s="12" t="s">
        <v>290</v>
      </c>
    </row>
    <row r="31" spans="1:12" ht="150" customHeight="1" x14ac:dyDescent="0.3">
      <c r="A31" s="12" t="s">
        <v>291</v>
      </c>
      <c r="B31" s="15" t="s">
        <v>250</v>
      </c>
      <c r="C31" s="12" t="s">
        <v>276</v>
      </c>
      <c r="D31" s="12" t="s">
        <v>292</v>
      </c>
      <c r="E31" s="12" t="s">
        <v>59</v>
      </c>
      <c r="F31" s="12" t="s">
        <v>293</v>
      </c>
      <c r="G31" s="12" t="s">
        <v>294</v>
      </c>
      <c r="H31" s="12" t="s">
        <v>295</v>
      </c>
      <c r="I31" s="12" t="s">
        <v>296</v>
      </c>
      <c r="J31" s="12" t="s">
        <v>297</v>
      </c>
      <c r="K31" s="12" t="s">
        <v>55</v>
      </c>
      <c r="L31" s="12" t="s">
        <v>298</v>
      </c>
    </row>
    <row r="32" spans="1:12" ht="150" customHeight="1" x14ac:dyDescent="0.3">
      <c r="A32" s="9" t="s">
        <v>299</v>
      </c>
      <c r="B32" s="14" t="s">
        <v>250</v>
      </c>
      <c r="C32" s="9" t="s">
        <v>300</v>
      </c>
      <c r="D32" s="9" t="s">
        <v>301</v>
      </c>
      <c r="E32" s="11" t="s">
        <v>49</v>
      </c>
      <c r="F32" s="9" t="s">
        <v>302</v>
      </c>
      <c r="G32" s="12" t="s">
        <v>303</v>
      </c>
      <c r="H32" s="12" t="s">
        <v>304</v>
      </c>
      <c r="I32" s="12" t="s">
        <v>305</v>
      </c>
      <c r="J32" s="12" t="s">
        <v>306</v>
      </c>
      <c r="K32" s="12" t="s">
        <v>55</v>
      </c>
      <c r="L32" s="12" t="s">
        <v>307</v>
      </c>
    </row>
    <row r="33" spans="1:12" ht="150" customHeight="1" x14ac:dyDescent="0.3">
      <c r="A33" s="12" t="s">
        <v>308</v>
      </c>
      <c r="B33" s="15" t="s">
        <v>250</v>
      </c>
      <c r="C33" s="12" t="s">
        <v>300</v>
      </c>
      <c r="D33" s="12" t="s">
        <v>309</v>
      </c>
      <c r="E33" s="12" t="s">
        <v>59</v>
      </c>
      <c r="F33" s="12" t="s">
        <v>310</v>
      </c>
      <c r="G33" s="12" t="s">
        <v>311</v>
      </c>
      <c r="H33" s="12" t="s">
        <v>312</v>
      </c>
      <c r="I33" s="12" t="s">
        <v>313</v>
      </c>
      <c r="J33" s="12" t="s">
        <v>314</v>
      </c>
      <c r="K33" s="12" t="s">
        <v>55</v>
      </c>
      <c r="L33" s="12" t="s">
        <v>315</v>
      </c>
    </row>
    <row r="34" spans="1:12" ht="150" customHeight="1" x14ac:dyDescent="0.3">
      <c r="A34" s="12" t="s">
        <v>316</v>
      </c>
      <c r="B34" s="15" t="s">
        <v>250</v>
      </c>
      <c r="C34" s="12" t="s">
        <v>300</v>
      </c>
      <c r="D34" s="12" t="s">
        <v>317</v>
      </c>
      <c r="E34" s="12" t="s">
        <v>59</v>
      </c>
      <c r="F34" s="12" t="s">
        <v>318</v>
      </c>
      <c r="G34" s="12" t="s">
        <v>319</v>
      </c>
      <c r="H34" s="12" t="s">
        <v>320</v>
      </c>
      <c r="I34" s="12" t="s">
        <v>321</v>
      </c>
      <c r="J34" s="12" t="s">
        <v>322</v>
      </c>
      <c r="K34" s="12" t="s">
        <v>55</v>
      </c>
      <c r="L34" s="12" t="s">
        <v>323</v>
      </c>
    </row>
    <row r="35" spans="1:12" ht="150" customHeight="1" x14ac:dyDescent="0.3">
      <c r="A35" s="9" t="s">
        <v>324</v>
      </c>
      <c r="B35" s="14" t="s">
        <v>250</v>
      </c>
      <c r="C35" s="9" t="s">
        <v>325</v>
      </c>
      <c r="D35" s="9" t="s">
        <v>326</v>
      </c>
      <c r="E35" s="11" t="s">
        <v>49</v>
      </c>
      <c r="F35" s="9" t="s">
        <v>327</v>
      </c>
      <c r="G35" s="12" t="s">
        <v>328</v>
      </c>
      <c r="H35" s="12" t="s">
        <v>329</v>
      </c>
      <c r="I35" s="12" t="s">
        <v>330</v>
      </c>
      <c r="J35" s="12" t="s">
        <v>331</v>
      </c>
      <c r="K35" s="12" t="s">
        <v>55</v>
      </c>
      <c r="L35" s="12" t="s">
        <v>332</v>
      </c>
    </row>
    <row r="36" spans="1:12" ht="150" customHeight="1" x14ac:dyDescent="0.3">
      <c r="A36" s="12" t="s">
        <v>333</v>
      </c>
      <c r="B36" s="15" t="s">
        <v>250</v>
      </c>
      <c r="C36" s="12" t="s">
        <v>325</v>
      </c>
      <c r="D36" s="12" t="s">
        <v>334</v>
      </c>
      <c r="E36" s="12" t="s">
        <v>59</v>
      </c>
      <c r="F36" s="12" t="s">
        <v>335</v>
      </c>
      <c r="G36" s="12" t="s">
        <v>336</v>
      </c>
      <c r="H36" s="12" t="s">
        <v>337</v>
      </c>
      <c r="I36" s="12" t="s">
        <v>338</v>
      </c>
      <c r="J36" s="12" t="s">
        <v>339</v>
      </c>
      <c r="K36" s="12" t="s">
        <v>55</v>
      </c>
      <c r="L36" s="12" t="s">
        <v>340</v>
      </c>
    </row>
    <row r="37" spans="1:12" ht="150" customHeight="1" x14ac:dyDescent="0.3">
      <c r="A37" s="12" t="s">
        <v>341</v>
      </c>
      <c r="B37" s="15" t="s">
        <v>250</v>
      </c>
      <c r="C37" s="12" t="s">
        <v>325</v>
      </c>
      <c r="D37" s="12" t="s">
        <v>342</v>
      </c>
      <c r="E37" s="12" t="s">
        <v>59</v>
      </c>
      <c r="F37" s="12" t="s">
        <v>343</v>
      </c>
      <c r="G37" s="12" t="s">
        <v>344</v>
      </c>
      <c r="H37" s="12" t="s">
        <v>345</v>
      </c>
      <c r="I37" s="12" t="s">
        <v>346</v>
      </c>
      <c r="J37" s="12" t="s">
        <v>347</v>
      </c>
      <c r="K37" s="12" t="s">
        <v>55</v>
      </c>
      <c r="L37" s="12" t="s">
        <v>348</v>
      </c>
    </row>
    <row r="38" spans="1:12" ht="150" customHeight="1" x14ac:dyDescent="0.3">
      <c r="A38" s="9" t="s">
        <v>349</v>
      </c>
      <c r="B38" s="14" t="s">
        <v>250</v>
      </c>
      <c r="C38" s="9" t="s">
        <v>350</v>
      </c>
      <c r="D38" s="9" t="s">
        <v>351</v>
      </c>
      <c r="E38" s="11" t="s">
        <v>49</v>
      </c>
      <c r="F38" s="9" t="s">
        <v>352</v>
      </c>
      <c r="G38" s="12" t="s">
        <v>353</v>
      </c>
      <c r="H38" s="12" t="s">
        <v>354</v>
      </c>
      <c r="I38" s="12" t="s">
        <v>355</v>
      </c>
      <c r="J38" s="12" t="s">
        <v>356</v>
      </c>
      <c r="K38" s="12" t="s">
        <v>55</v>
      </c>
      <c r="L38" s="12" t="s">
        <v>357</v>
      </c>
    </row>
    <row r="39" spans="1:12" ht="150" customHeight="1" x14ac:dyDescent="0.3">
      <c r="A39" s="12" t="s">
        <v>358</v>
      </c>
      <c r="B39" s="15" t="s">
        <v>250</v>
      </c>
      <c r="C39" s="12" t="s">
        <v>350</v>
      </c>
      <c r="D39" s="12" t="s">
        <v>359</v>
      </c>
      <c r="E39" s="12" t="s">
        <v>59</v>
      </c>
      <c r="F39" s="12" t="s">
        <v>360</v>
      </c>
      <c r="G39" s="12" t="s">
        <v>361</v>
      </c>
      <c r="H39" s="12" t="s">
        <v>362</v>
      </c>
      <c r="I39" s="12" t="s">
        <v>363</v>
      </c>
      <c r="J39" s="12" t="s">
        <v>364</v>
      </c>
      <c r="K39" s="12" t="s">
        <v>55</v>
      </c>
      <c r="L39" s="12" t="s">
        <v>365</v>
      </c>
    </row>
    <row r="40" spans="1:12" ht="150" customHeight="1" x14ac:dyDescent="0.3">
      <c r="A40" s="12" t="s">
        <v>366</v>
      </c>
      <c r="B40" s="15" t="s">
        <v>250</v>
      </c>
      <c r="C40" s="12" t="s">
        <v>350</v>
      </c>
      <c r="D40" s="12" t="s">
        <v>367</v>
      </c>
      <c r="E40" s="12" t="s">
        <v>59</v>
      </c>
      <c r="F40" s="12" t="s">
        <v>368</v>
      </c>
      <c r="G40" s="12" t="s">
        <v>369</v>
      </c>
      <c r="H40" s="12" t="s">
        <v>370</v>
      </c>
      <c r="I40" s="12" t="s">
        <v>371</v>
      </c>
      <c r="J40" s="12" t="s">
        <v>372</v>
      </c>
      <c r="K40" s="12" t="s">
        <v>55</v>
      </c>
      <c r="L40" s="12" t="s">
        <v>373</v>
      </c>
    </row>
    <row r="41" spans="1:12" ht="150" customHeight="1" x14ac:dyDescent="0.3">
      <c r="A41" s="9" t="s">
        <v>374</v>
      </c>
      <c r="B41" s="14" t="s">
        <v>250</v>
      </c>
      <c r="C41" s="9" t="s">
        <v>375</v>
      </c>
      <c r="D41" s="9" t="s">
        <v>376</v>
      </c>
      <c r="E41" s="11" t="s">
        <v>49</v>
      </c>
      <c r="F41" s="9" t="s">
        <v>377</v>
      </c>
      <c r="G41" s="12" t="s">
        <v>378</v>
      </c>
      <c r="H41" s="12" t="s">
        <v>379</v>
      </c>
      <c r="I41" s="12" t="s">
        <v>380</v>
      </c>
      <c r="J41" s="12" t="s">
        <v>381</v>
      </c>
      <c r="K41" s="12" t="s">
        <v>55</v>
      </c>
      <c r="L41" s="12" t="s">
        <v>382</v>
      </c>
    </row>
    <row r="42" spans="1:12" ht="150" customHeight="1" x14ac:dyDescent="0.3">
      <c r="A42" s="12" t="s">
        <v>383</v>
      </c>
      <c r="B42" s="15" t="s">
        <v>250</v>
      </c>
      <c r="C42" s="12" t="s">
        <v>375</v>
      </c>
      <c r="D42" s="12" t="s">
        <v>384</v>
      </c>
      <c r="E42" s="12" t="s">
        <v>59</v>
      </c>
      <c r="F42" s="12" t="s">
        <v>385</v>
      </c>
      <c r="G42" s="12" t="s">
        <v>386</v>
      </c>
      <c r="H42" s="12" t="s">
        <v>387</v>
      </c>
      <c r="I42" s="12" t="s">
        <v>388</v>
      </c>
      <c r="J42" s="12" t="s">
        <v>389</v>
      </c>
      <c r="K42" s="12" t="s">
        <v>55</v>
      </c>
      <c r="L42" s="12" t="s">
        <v>390</v>
      </c>
    </row>
    <row r="43" spans="1:12" ht="150" customHeight="1" x14ac:dyDescent="0.3">
      <c r="A43" s="12" t="s">
        <v>391</v>
      </c>
      <c r="B43" s="15" t="s">
        <v>250</v>
      </c>
      <c r="C43" s="12" t="s">
        <v>375</v>
      </c>
      <c r="D43" s="12" t="s">
        <v>392</v>
      </c>
      <c r="E43" s="12" t="s">
        <v>59</v>
      </c>
      <c r="F43" s="12" t="s">
        <v>393</v>
      </c>
      <c r="G43" s="12" t="s">
        <v>394</v>
      </c>
      <c r="H43" s="12" t="s">
        <v>395</v>
      </c>
      <c r="I43" s="12" t="s">
        <v>396</v>
      </c>
      <c r="J43" s="12" t="s">
        <v>397</v>
      </c>
      <c r="K43" s="12" t="s">
        <v>55</v>
      </c>
      <c r="L43" s="12" t="s">
        <v>398</v>
      </c>
    </row>
    <row r="44" spans="1:12" ht="150" customHeight="1" x14ac:dyDescent="0.3">
      <c r="A44" s="9" t="s">
        <v>399</v>
      </c>
      <c r="B44" s="14" t="s">
        <v>250</v>
      </c>
      <c r="C44" s="9" t="s">
        <v>400</v>
      </c>
      <c r="D44" s="9" t="s">
        <v>401</v>
      </c>
      <c r="E44" s="11" t="s">
        <v>49</v>
      </c>
      <c r="F44" s="9" t="s">
        <v>402</v>
      </c>
      <c r="G44" s="12" t="s">
        <v>403</v>
      </c>
      <c r="H44" s="12" t="s">
        <v>404</v>
      </c>
      <c r="I44" s="12" t="s">
        <v>405</v>
      </c>
      <c r="J44" s="12" t="s">
        <v>406</v>
      </c>
      <c r="K44" s="12" t="s">
        <v>55</v>
      </c>
      <c r="L44" s="12" t="s">
        <v>407</v>
      </c>
    </row>
    <row r="45" spans="1:12" ht="150" customHeight="1" x14ac:dyDescent="0.3">
      <c r="A45" s="12" t="s">
        <v>408</v>
      </c>
      <c r="B45" s="15" t="s">
        <v>250</v>
      </c>
      <c r="C45" s="12" t="s">
        <v>400</v>
      </c>
      <c r="D45" s="12" t="s">
        <v>409</v>
      </c>
      <c r="E45" s="12" t="s">
        <v>59</v>
      </c>
      <c r="F45" s="12" t="s">
        <v>409</v>
      </c>
      <c r="G45" s="12" t="s">
        <v>410</v>
      </c>
      <c r="H45" s="12" t="s">
        <v>411</v>
      </c>
      <c r="I45" s="12" t="s">
        <v>412</v>
      </c>
      <c r="J45" s="12" t="s">
        <v>413</v>
      </c>
      <c r="K45" s="12" t="s">
        <v>55</v>
      </c>
      <c r="L45" s="12" t="s">
        <v>414</v>
      </c>
    </row>
    <row r="46" spans="1:12" ht="150" customHeight="1" x14ac:dyDescent="0.3">
      <c r="A46" s="12" t="s">
        <v>415</v>
      </c>
      <c r="B46" s="15" t="s">
        <v>250</v>
      </c>
      <c r="C46" s="12" t="s">
        <v>400</v>
      </c>
      <c r="D46" s="12" t="s">
        <v>416</v>
      </c>
      <c r="E46" s="12" t="s">
        <v>59</v>
      </c>
      <c r="F46" s="12" t="s">
        <v>417</v>
      </c>
      <c r="G46" s="12" t="s">
        <v>418</v>
      </c>
      <c r="H46" s="12" t="s">
        <v>419</v>
      </c>
      <c r="I46" s="12" t="s">
        <v>420</v>
      </c>
      <c r="J46" s="12" t="s">
        <v>421</v>
      </c>
      <c r="K46" s="12" t="s">
        <v>55</v>
      </c>
      <c r="L46" s="12" t="s">
        <v>422</v>
      </c>
    </row>
    <row r="47" spans="1:12" ht="150" customHeight="1" x14ac:dyDescent="0.3">
      <c r="A47" s="9" t="s">
        <v>423</v>
      </c>
      <c r="B47" s="14" t="s">
        <v>250</v>
      </c>
      <c r="C47" s="9" t="s">
        <v>424</v>
      </c>
      <c r="D47" s="9" t="s">
        <v>425</v>
      </c>
      <c r="E47" s="11" t="s">
        <v>49</v>
      </c>
      <c r="F47" s="9" t="s">
        <v>426</v>
      </c>
      <c r="G47" s="12" t="s">
        <v>427</v>
      </c>
      <c r="H47" s="12" t="s">
        <v>428</v>
      </c>
      <c r="I47" s="12" t="s">
        <v>429</v>
      </c>
      <c r="J47" s="12" t="s">
        <v>430</v>
      </c>
      <c r="K47" s="12" t="s">
        <v>55</v>
      </c>
      <c r="L47" s="12" t="s">
        <v>431</v>
      </c>
    </row>
    <row r="48" spans="1:12" ht="150" customHeight="1" x14ac:dyDescent="0.3">
      <c r="A48" s="12" t="s">
        <v>432</v>
      </c>
      <c r="B48" s="15" t="s">
        <v>250</v>
      </c>
      <c r="C48" s="12" t="s">
        <v>424</v>
      </c>
      <c r="D48" s="12" t="s">
        <v>433</v>
      </c>
      <c r="E48" s="12" t="s">
        <v>59</v>
      </c>
      <c r="F48" s="12" t="s">
        <v>434</v>
      </c>
      <c r="G48" s="12" t="s">
        <v>435</v>
      </c>
      <c r="H48" s="12" t="s">
        <v>436</v>
      </c>
      <c r="I48" s="12" t="s">
        <v>437</v>
      </c>
      <c r="J48" s="12" t="s">
        <v>438</v>
      </c>
      <c r="K48" s="12" t="s">
        <v>55</v>
      </c>
      <c r="L48" s="12" t="s">
        <v>439</v>
      </c>
    </row>
    <row r="49" spans="1:12" ht="150" customHeight="1" x14ac:dyDescent="0.3">
      <c r="A49" s="12" t="s">
        <v>440</v>
      </c>
      <c r="B49" s="15" t="s">
        <v>250</v>
      </c>
      <c r="C49" s="12" t="s">
        <v>424</v>
      </c>
      <c r="D49" s="12" t="s">
        <v>441</v>
      </c>
      <c r="E49" s="12" t="s">
        <v>59</v>
      </c>
      <c r="F49" s="12" t="s">
        <v>442</v>
      </c>
      <c r="G49" s="12" t="s">
        <v>443</v>
      </c>
      <c r="H49" s="12" t="s">
        <v>444</v>
      </c>
      <c r="I49" s="12" t="s">
        <v>445</v>
      </c>
      <c r="J49" s="12" t="s">
        <v>446</v>
      </c>
      <c r="K49" s="12" t="s">
        <v>55</v>
      </c>
      <c r="L49" s="12" t="s">
        <v>447</v>
      </c>
    </row>
    <row r="50" spans="1:12" ht="150" customHeight="1" x14ac:dyDescent="0.3">
      <c r="A50" s="9" t="s">
        <v>448</v>
      </c>
      <c r="B50" s="14" t="s">
        <v>250</v>
      </c>
      <c r="C50" s="9" t="s">
        <v>449</v>
      </c>
      <c r="D50" s="9" t="s">
        <v>450</v>
      </c>
      <c r="E50" s="11" t="s">
        <v>49</v>
      </c>
      <c r="F50" s="9" t="s">
        <v>451</v>
      </c>
      <c r="G50" s="12" t="s">
        <v>452</v>
      </c>
      <c r="H50" s="12" t="s">
        <v>453</v>
      </c>
      <c r="I50" s="12" t="s">
        <v>454</v>
      </c>
      <c r="J50" s="12" t="s">
        <v>455</v>
      </c>
      <c r="K50" s="12" t="s">
        <v>55</v>
      </c>
      <c r="L50" s="12" t="s">
        <v>456</v>
      </c>
    </row>
    <row r="51" spans="1:12" ht="150" customHeight="1" x14ac:dyDescent="0.3">
      <c r="A51" s="12" t="s">
        <v>457</v>
      </c>
      <c r="B51" s="15" t="s">
        <v>250</v>
      </c>
      <c r="C51" s="12" t="s">
        <v>449</v>
      </c>
      <c r="D51" s="12" t="s">
        <v>458</v>
      </c>
      <c r="E51" s="12" t="s">
        <v>59</v>
      </c>
      <c r="F51" s="12" t="s">
        <v>459</v>
      </c>
      <c r="G51" s="12" t="s">
        <v>460</v>
      </c>
      <c r="H51" s="12" t="s">
        <v>461</v>
      </c>
      <c r="I51" s="12" t="s">
        <v>462</v>
      </c>
      <c r="J51" s="12" t="s">
        <v>463</v>
      </c>
      <c r="K51" s="12" t="s">
        <v>55</v>
      </c>
      <c r="L51" s="12" t="s">
        <v>464</v>
      </c>
    </row>
    <row r="52" spans="1:12" ht="150" customHeight="1" x14ac:dyDescent="0.3">
      <c r="A52" s="12" t="s">
        <v>465</v>
      </c>
      <c r="B52" s="15" t="s">
        <v>250</v>
      </c>
      <c r="C52" s="12" t="s">
        <v>449</v>
      </c>
      <c r="D52" s="12" t="s">
        <v>466</v>
      </c>
      <c r="E52" s="12" t="s">
        <v>59</v>
      </c>
      <c r="F52" s="12" t="s">
        <v>467</v>
      </c>
      <c r="G52" s="12" t="s">
        <v>468</v>
      </c>
      <c r="H52" s="12" t="s">
        <v>469</v>
      </c>
      <c r="I52" s="12" t="s">
        <v>470</v>
      </c>
      <c r="J52" s="12" t="s">
        <v>471</v>
      </c>
      <c r="K52" s="12" t="s">
        <v>55</v>
      </c>
      <c r="L52" s="12" t="s">
        <v>472</v>
      </c>
    </row>
    <row r="53" spans="1:12" ht="150" customHeight="1" x14ac:dyDescent="0.3">
      <c r="A53" s="9" t="s">
        <v>473</v>
      </c>
      <c r="B53" s="16" t="s">
        <v>474</v>
      </c>
      <c r="C53" s="9" t="s">
        <v>475</v>
      </c>
      <c r="D53" s="9" t="s">
        <v>476</v>
      </c>
      <c r="E53" s="11" t="s">
        <v>49</v>
      </c>
      <c r="F53" s="9" t="s">
        <v>477</v>
      </c>
      <c r="G53" s="12" t="s">
        <v>478</v>
      </c>
      <c r="H53" s="12" t="s">
        <v>479</v>
      </c>
      <c r="I53" s="12" t="s">
        <v>480</v>
      </c>
      <c r="J53" s="12" t="s">
        <v>481</v>
      </c>
      <c r="K53" s="12" t="s">
        <v>55</v>
      </c>
      <c r="L53" s="12" t="s">
        <v>482</v>
      </c>
    </row>
    <row r="54" spans="1:12" ht="150" customHeight="1" x14ac:dyDescent="0.3">
      <c r="A54" s="12" t="s">
        <v>483</v>
      </c>
      <c r="B54" s="17" t="s">
        <v>474</v>
      </c>
      <c r="C54" s="12" t="s">
        <v>475</v>
      </c>
      <c r="D54" s="12" t="s">
        <v>484</v>
      </c>
      <c r="E54" s="12" t="s">
        <v>59</v>
      </c>
      <c r="F54" s="12" t="s">
        <v>485</v>
      </c>
      <c r="G54" s="12" t="s">
        <v>486</v>
      </c>
      <c r="H54" s="12" t="s">
        <v>487</v>
      </c>
      <c r="I54" s="12" t="s">
        <v>488</v>
      </c>
      <c r="J54" s="12" t="s">
        <v>489</v>
      </c>
      <c r="K54" s="12" t="s">
        <v>55</v>
      </c>
      <c r="L54" s="12" t="s">
        <v>490</v>
      </c>
    </row>
    <row r="55" spans="1:12" ht="150" customHeight="1" x14ac:dyDescent="0.3">
      <c r="A55" s="12" t="s">
        <v>491</v>
      </c>
      <c r="B55" s="17" t="s">
        <v>474</v>
      </c>
      <c r="C55" s="12" t="s">
        <v>475</v>
      </c>
      <c r="D55" s="12" t="s">
        <v>492</v>
      </c>
      <c r="E55" s="12" t="s">
        <v>59</v>
      </c>
      <c r="F55" s="12" t="s">
        <v>493</v>
      </c>
      <c r="G55" s="12" t="s">
        <v>494</v>
      </c>
      <c r="H55" s="12" t="s">
        <v>495</v>
      </c>
      <c r="I55" s="12" t="s">
        <v>496</v>
      </c>
      <c r="J55" s="12" t="s">
        <v>497</v>
      </c>
      <c r="K55" s="12" t="s">
        <v>55</v>
      </c>
      <c r="L55" s="12" t="s">
        <v>498</v>
      </c>
    </row>
    <row r="56" spans="1:12" ht="150" customHeight="1" x14ac:dyDescent="0.3">
      <c r="A56" s="9" t="s">
        <v>499</v>
      </c>
      <c r="B56" s="16" t="s">
        <v>474</v>
      </c>
      <c r="C56" s="9" t="s">
        <v>500</v>
      </c>
      <c r="D56" s="9" t="s">
        <v>501</v>
      </c>
      <c r="E56" s="11" t="s">
        <v>49</v>
      </c>
      <c r="F56" s="9" t="s">
        <v>502</v>
      </c>
      <c r="G56" s="12" t="s">
        <v>503</v>
      </c>
      <c r="H56" s="12" t="s">
        <v>504</v>
      </c>
      <c r="I56" s="12" t="s">
        <v>505</v>
      </c>
      <c r="J56" s="12" t="s">
        <v>506</v>
      </c>
      <c r="K56" s="12" t="s">
        <v>55</v>
      </c>
      <c r="L56" s="12" t="s">
        <v>507</v>
      </c>
    </row>
    <row r="57" spans="1:12" ht="150" customHeight="1" x14ac:dyDescent="0.3">
      <c r="A57" s="12" t="s">
        <v>508</v>
      </c>
      <c r="B57" s="17" t="s">
        <v>474</v>
      </c>
      <c r="C57" s="12" t="s">
        <v>500</v>
      </c>
      <c r="D57" s="12" t="s">
        <v>509</v>
      </c>
      <c r="E57" s="12" t="s">
        <v>59</v>
      </c>
      <c r="F57" s="12" t="s">
        <v>510</v>
      </c>
      <c r="G57" s="12" t="s">
        <v>511</v>
      </c>
      <c r="H57" s="12" t="s">
        <v>512</v>
      </c>
      <c r="I57" s="12" t="s">
        <v>513</v>
      </c>
      <c r="J57" s="12" t="s">
        <v>514</v>
      </c>
      <c r="K57" s="12" t="s">
        <v>55</v>
      </c>
      <c r="L57" s="12" t="s">
        <v>515</v>
      </c>
    </row>
    <row r="58" spans="1:12" ht="150" customHeight="1" x14ac:dyDescent="0.3">
      <c r="A58" s="12" t="s">
        <v>516</v>
      </c>
      <c r="B58" s="17" t="s">
        <v>474</v>
      </c>
      <c r="C58" s="12" t="s">
        <v>500</v>
      </c>
      <c r="D58" s="12" t="s">
        <v>517</v>
      </c>
      <c r="E58" s="12" t="s">
        <v>59</v>
      </c>
      <c r="F58" s="12" t="s">
        <v>518</v>
      </c>
      <c r="G58" s="12" t="s">
        <v>519</v>
      </c>
      <c r="H58" s="12" t="s">
        <v>520</v>
      </c>
      <c r="I58" s="12" t="s">
        <v>521</v>
      </c>
      <c r="J58" s="12" t="s">
        <v>522</v>
      </c>
      <c r="K58" s="12" t="s">
        <v>55</v>
      </c>
      <c r="L58" s="12" t="s">
        <v>523</v>
      </c>
    </row>
    <row r="59" spans="1:12" ht="150" customHeight="1" x14ac:dyDescent="0.3">
      <c r="A59" s="9" t="s">
        <v>524</v>
      </c>
      <c r="B59" s="16" t="s">
        <v>474</v>
      </c>
      <c r="C59" s="9" t="s">
        <v>525</v>
      </c>
      <c r="D59" s="9" t="s">
        <v>526</v>
      </c>
      <c r="E59" s="11" t="s">
        <v>49</v>
      </c>
      <c r="F59" s="9" t="s">
        <v>527</v>
      </c>
      <c r="G59" s="12" t="s">
        <v>528</v>
      </c>
      <c r="H59" s="12" t="s">
        <v>529</v>
      </c>
      <c r="I59" s="12" t="s">
        <v>530</v>
      </c>
      <c r="J59" s="12" t="s">
        <v>531</v>
      </c>
      <c r="K59" s="12" t="s">
        <v>55</v>
      </c>
      <c r="L59" s="12" t="s">
        <v>532</v>
      </c>
    </row>
    <row r="60" spans="1:12" ht="150" customHeight="1" x14ac:dyDescent="0.3">
      <c r="A60" s="12" t="s">
        <v>533</v>
      </c>
      <c r="B60" s="17" t="s">
        <v>474</v>
      </c>
      <c r="C60" s="12" t="s">
        <v>525</v>
      </c>
      <c r="D60" s="12" t="s">
        <v>534</v>
      </c>
      <c r="E60" s="12" t="s">
        <v>59</v>
      </c>
      <c r="F60" s="12" t="s">
        <v>535</v>
      </c>
      <c r="G60" s="12" t="s">
        <v>536</v>
      </c>
      <c r="H60" s="12" t="s">
        <v>537</v>
      </c>
      <c r="I60" s="12" t="s">
        <v>538</v>
      </c>
      <c r="J60" s="12" t="s">
        <v>539</v>
      </c>
      <c r="K60" s="12" t="s">
        <v>55</v>
      </c>
      <c r="L60" s="12" t="s">
        <v>540</v>
      </c>
    </row>
    <row r="61" spans="1:12" ht="150" customHeight="1" x14ac:dyDescent="0.3">
      <c r="A61" s="12" t="s">
        <v>541</v>
      </c>
      <c r="B61" s="17" t="s">
        <v>474</v>
      </c>
      <c r="C61" s="12" t="s">
        <v>525</v>
      </c>
      <c r="D61" s="12" t="s">
        <v>542</v>
      </c>
      <c r="E61" s="12" t="s">
        <v>59</v>
      </c>
      <c r="F61" s="12" t="s">
        <v>543</v>
      </c>
      <c r="G61" s="12" t="s">
        <v>544</v>
      </c>
      <c r="H61" s="12" t="s">
        <v>545</v>
      </c>
      <c r="I61" s="12" t="s">
        <v>546</v>
      </c>
      <c r="J61" s="12" t="s">
        <v>547</v>
      </c>
      <c r="K61" s="12" t="s">
        <v>55</v>
      </c>
      <c r="L61" s="12" t="s">
        <v>548</v>
      </c>
    </row>
    <row r="62" spans="1:12" ht="150" customHeight="1" x14ac:dyDescent="0.3">
      <c r="A62" s="9" t="s">
        <v>549</v>
      </c>
      <c r="B62" s="16" t="s">
        <v>474</v>
      </c>
      <c r="C62" s="9" t="s">
        <v>550</v>
      </c>
      <c r="D62" s="9" t="s">
        <v>551</v>
      </c>
      <c r="E62" s="11" t="s">
        <v>49</v>
      </c>
      <c r="F62" s="9" t="s">
        <v>552</v>
      </c>
      <c r="G62" s="12" t="s">
        <v>553</v>
      </c>
      <c r="H62" s="12" t="s">
        <v>554</v>
      </c>
      <c r="I62" s="12" t="s">
        <v>555</v>
      </c>
      <c r="J62" s="12" t="s">
        <v>556</v>
      </c>
      <c r="K62" s="12" t="s">
        <v>55</v>
      </c>
      <c r="L62" s="12" t="s">
        <v>557</v>
      </c>
    </row>
    <row r="63" spans="1:12" ht="150" customHeight="1" x14ac:dyDescent="0.3">
      <c r="A63" s="12" t="s">
        <v>558</v>
      </c>
      <c r="B63" s="17" t="s">
        <v>474</v>
      </c>
      <c r="C63" s="12" t="s">
        <v>550</v>
      </c>
      <c r="D63" s="12" t="s">
        <v>559</v>
      </c>
      <c r="E63" s="12" t="s">
        <v>59</v>
      </c>
      <c r="F63" s="12" t="s">
        <v>560</v>
      </c>
      <c r="G63" s="12" t="s">
        <v>561</v>
      </c>
      <c r="H63" s="12" t="s">
        <v>562</v>
      </c>
      <c r="I63" s="12" t="s">
        <v>563</v>
      </c>
      <c r="J63" s="12" t="s">
        <v>564</v>
      </c>
      <c r="K63" s="12" t="s">
        <v>55</v>
      </c>
      <c r="L63" s="12" t="s">
        <v>565</v>
      </c>
    </row>
    <row r="64" spans="1:12" ht="150" customHeight="1" x14ac:dyDescent="0.3">
      <c r="A64" s="12" t="s">
        <v>566</v>
      </c>
      <c r="B64" s="17" t="s">
        <v>474</v>
      </c>
      <c r="C64" s="12" t="s">
        <v>550</v>
      </c>
      <c r="D64" s="12" t="s">
        <v>567</v>
      </c>
      <c r="E64" s="12" t="s">
        <v>59</v>
      </c>
      <c r="F64" s="12" t="s">
        <v>568</v>
      </c>
      <c r="G64" s="12" t="s">
        <v>569</v>
      </c>
      <c r="H64" s="12" t="s">
        <v>570</v>
      </c>
      <c r="I64" s="12" t="s">
        <v>571</v>
      </c>
      <c r="J64" s="12" t="s">
        <v>572</v>
      </c>
      <c r="K64" s="12" t="s">
        <v>55</v>
      </c>
      <c r="L64" s="12" t="s">
        <v>573</v>
      </c>
    </row>
    <row r="65" spans="1:12" ht="150" customHeight="1" x14ac:dyDescent="0.3">
      <c r="A65" s="9" t="s">
        <v>574</v>
      </c>
      <c r="B65" s="16" t="s">
        <v>474</v>
      </c>
      <c r="C65" s="9" t="s">
        <v>575</v>
      </c>
      <c r="D65" s="9" t="s">
        <v>576</v>
      </c>
      <c r="E65" s="11" t="s">
        <v>49</v>
      </c>
      <c r="F65" s="9" t="s">
        <v>577</v>
      </c>
      <c r="G65" s="12" t="s">
        <v>578</v>
      </c>
      <c r="H65" s="12" t="s">
        <v>579</v>
      </c>
      <c r="I65" s="12" t="s">
        <v>580</v>
      </c>
      <c r="J65" s="12" t="s">
        <v>581</v>
      </c>
      <c r="K65" s="12" t="s">
        <v>55</v>
      </c>
      <c r="L65" s="12" t="s">
        <v>582</v>
      </c>
    </row>
    <row r="66" spans="1:12" ht="150" customHeight="1" x14ac:dyDescent="0.3">
      <c r="A66" s="12" t="s">
        <v>583</v>
      </c>
      <c r="B66" s="17" t="s">
        <v>474</v>
      </c>
      <c r="C66" s="12" t="s">
        <v>575</v>
      </c>
      <c r="D66" s="12" t="s">
        <v>584</v>
      </c>
      <c r="E66" s="12" t="s">
        <v>59</v>
      </c>
      <c r="F66" s="12" t="s">
        <v>585</v>
      </c>
      <c r="G66" s="12" t="s">
        <v>586</v>
      </c>
      <c r="H66" s="12" t="s">
        <v>587</v>
      </c>
      <c r="I66" s="12" t="s">
        <v>588</v>
      </c>
      <c r="J66" s="12" t="s">
        <v>589</v>
      </c>
      <c r="K66" s="12" t="s">
        <v>55</v>
      </c>
      <c r="L66" s="12" t="s">
        <v>590</v>
      </c>
    </row>
    <row r="67" spans="1:12" ht="150" customHeight="1" x14ac:dyDescent="0.3">
      <c r="A67" s="12" t="s">
        <v>591</v>
      </c>
      <c r="B67" s="17" t="s">
        <v>474</v>
      </c>
      <c r="C67" s="12" t="s">
        <v>575</v>
      </c>
      <c r="D67" s="12" t="s">
        <v>592</v>
      </c>
      <c r="E67" s="12" t="s">
        <v>59</v>
      </c>
      <c r="F67" s="12" t="s">
        <v>593</v>
      </c>
      <c r="G67" s="12" t="s">
        <v>594</v>
      </c>
      <c r="H67" s="12" t="s">
        <v>595</v>
      </c>
      <c r="I67" s="12" t="s">
        <v>596</v>
      </c>
      <c r="J67" s="12" t="s">
        <v>597</v>
      </c>
      <c r="K67" s="12" t="s">
        <v>55</v>
      </c>
      <c r="L67" s="12" t="s">
        <v>598</v>
      </c>
    </row>
    <row r="68" spans="1:12" ht="150" customHeight="1" x14ac:dyDescent="0.3">
      <c r="A68" s="9" t="s">
        <v>599</v>
      </c>
      <c r="B68" s="16" t="s">
        <v>474</v>
      </c>
      <c r="C68" s="9" t="s">
        <v>600</v>
      </c>
      <c r="D68" s="9" t="s">
        <v>601</v>
      </c>
      <c r="E68" s="11" t="s">
        <v>49</v>
      </c>
      <c r="F68" s="9" t="s">
        <v>602</v>
      </c>
      <c r="G68" s="12" t="s">
        <v>603</v>
      </c>
      <c r="H68" s="12" t="s">
        <v>604</v>
      </c>
      <c r="I68" s="12" t="s">
        <v>605</v>
      </c>
      <c r="J68" s="12" t="s">
        <v>606</v>
      </c>
      <c r="K68" s="12" t="s">
        <v>55</v>
      </c>
      <c r="L68" s="12" t="s">
        <v>607</v>
      </c>
    </row>
    <row r="69" spans="1:12" ht="150" customHeight="1" x14ac:dyDescent="0.3">
      <c r="A69" s="12" t="s">
        <v>608</v>
      </c>
      <c r="B69" s="17" t="s">
        <v>474</v>
      </c>
      <c r="C69" s="12" t="s">
        <v>600</v>
      </c>
      <c r="D69" s="12" t="s">
        <v>609</v>
      </c>
      <c r="E69" s="12" t="s">
        <v>59</v>
      </c>
      <c r="F69" s="12" t="s">
        <v>610</v>
      </c>
      <c r="G69" s="12" t="s">
        <v>611</v>
      </c>
      <c r="H69" s="12" t="s">
        <v>612</v>
      </c>
      <c r="I69" s="12" t="s">
        <v>613</v>
      </c>
      <c r="J69" s="12" t="s">
        <v>614</v>
      </c>
      <c r="K69" s="12" t="s">
        <v>55</v>
      </c>
      <c r="L69" s="12" t="s">
        <v>615</v>
      </c>
    </row>
    <row r="70" spans="1:12" ht="150" customHeight="1" x14ac:dyDescent="0.3">
      <c r="A70" s="12" t="s">
        <v>616</v>
      </c>
      <c r="B70" s="17" t="s">
        <v>474</v>
      </c>
      <c r="C70" s="12" t="s">
        <v>600</v>
      </c>
      <c r="D70" s="12" t="s">
        <v>617</v>
      </c>
      <c r="E70" s="12" t="s">
        <v>59</v>
      </c>
      <c r="F70" s="12" t="s">
        <v>618</v>
      </c>
      <c r="G70" s="12" t="s">
        <v>619</v>
      </c>
      <c r="H70" s="12" t="s">
        <v>620</v>
      </c>
      <c r="I70" s="12" t="s">
        <v>621</v>
      </c>
      <c r="J70" s="12" t="s">
        <v>622</v>
      </c>
      <c r="K70" s="12" t="s">
        <v>55</v>
      </c>
      <c r="L70" s="12" t="s">
        <v>623</v>
      </c>
    </row>
    <row r="71" spans="1:12" ht="150" customHeight="1" x14ac:dyDescent="0.3">
      <c r="A71" s="9" t="s">
        <v>624</v>
      </c>
      <c r="B71" s="18" t="s">
        <v>625</v>
      </c>
      <c r="C71" s="9" t="s">
        <v>626</v>
      </c>
      <c r="D71" s="9" t="s">
        <v>627</v>
      </c>
      <c r="E71" s="11" t="s">
        <v>49</v>
      </c>
      <c r="F71" s="9" t="s">
        <v>628</v>
      </c>
      <c r="G71" s="12" t="s">
        <v>629</v>
      </c>
      <c r="H71" s="12" t="s">
        <v>630</v>
      </c>
      <c r="I71" s="12" t="s">
        <v>631</v>
      </c>
      <c r="J71" s="12" t="s">
        <v>632</v>
      </c>
      <c r="K71" s="12" t="s">
        <v>55</v>
      </c>
      <c r="L71" s="12" t="s">
        <v>633</v>
      </c>
    </row>
    <row r="72" spans="1:12" ht="150" customHeight="1" x14ac:dyDescent="0.3">
      <c r="A72" s="12" t="s">
        <v>634</v>
      </c>
      <c r="B72" s="19" t="s">
        <v>625</v>
      </c>
      <c r="C72" s="12" t="s">
        <v>626</v>
      </c>
      <c r="D72" s="12" t="s">
        <v>635</v>
      </c>
      <c r="E72" s="12" t="s">
        <v>59</v>
      </c>
      <c r="F72" s="12" t="s">
        <v>636</v>
      </c>
      <c r="G72" s="12" t="s">
        <v>637</v>
      </c>
      <c r="H72" s="12" t="s">
        <v>638</v>
      </c>
      <c r="I72" s="12" t="s">
        <v>639</v>
      </c>
      <c r="J72" s="12" t="s">
        <v>640</v>
      </c>
      <c r="K72" s="12" t="s">
        <v>55</v>
      </c>
      <c r="L72" s="12" t="s">
        <v>641</v>
      </c>
    </row>
    <row r="73" spans="1:12" ht="150" customHeight="1" x14ac:dyDescent="0.3">
      <c r="A73" s="12" t="s">
        <v>642</v>
      </c>
      <c r="B73" s="19" t="s">
        <v>625</v>
      </c>
      <c r="C73" s="12" t="s">
        <v>626</v>
      </c>
      <c r="D73" s="12" t="s">
        <v>643</v>
      </c>
      <c r="E73" s="12" t="s">
        <v>59</v>
      </c>
      <c r="F73" s="12" t="s">
        <v>644</v>
      </c>
      <c r="G73" s="12" t="s">
        <v>645</v>
      </c>
      <c r="H73" s="12" t="s">
        <v>646</v>
      </c>
      <c r="I73" s="12" t="s">
        <v>647</v>
      </c>
      <c r="J73" s="12" t="s">
        <v>648</v>
      </c>
      <c r="K73" s="12" t="s">
        <v>55</v>
      </c>
      <c r="L73" s="12" t="s">
        <v>649</v>
      </c>
    </row>
    <row r="74" spans="1:12" ht="150" customHeight="1" x14ac:dyDescent="0.3">
      <c r="A74" s="9" t="s">
        <v>650</v>
      </c>
      <c r="B74" s="18" t="s">
        <v>625</v>
      </c>
      <c r="C74" s="9" t="s">
        <v>651</v>
      </c>
      <c r="D74" s="9" t="s">
        <v>652</v>
      </c>
      <c r="E74" s="11" t="s">
        <v>49</v>
      </c>
      <c r="F74" s="9" t="s">
        <v>653</v>
      </c>
      <c r="G74" s="12" t="s">
        <v>654</v>
      </c>
      <c r="H74" s="12" t="s">
        <v>655</v>
      </c>
      <c r="I74" s="12" t="s">
        <v>656</v>
      </c>
      <c r="J74" s="12" t="s">
        <v>657</v>
      </c>
      <c r="K74" s="12" t="s">
        <v>55</v>
      </c>
      <c r="L74" s="12" t="s">
        <v>658</v>
      </c>
    </row>
    <row r="75" spans="1:12" ht="150" customHeight="1" x14ac:dyDescent="0.3">
      <c r="A75" s="12" t="s">
        <v>659</v>
      </c>
      <c r="B75" s="19" t="s">
        <v>625</v>
      </c>
      <c r="C75" s="12" t="s">
        <v>651</v>
      </c>
      <c r="D75" s="12" t="s">
        <v>660</v>
      </c>
      <c r="E75" s="12" t="s">
        <v>59</v>
      </c>
      <c r="F75" s="12" t="s">
        <v>661</v>
      </c>
      <c r="G75" s="12" t="s">
        <v>662</v>
      </c>
      <c r="H75" s="12" t="s">
        <v>663</v>
      </c>
      <c r="I75" s="12" t="s">
        <v>664</v>
      </c>
      <c r="J75" s="12" t="s">
        <v>665</v>
      </c>
      <c r="K75" s="12" t="s">
        <v>55</v>
      </c>
      <c r="L75" s="12" t="s">
        <v>666</v>
      </c>
    </row>
    <row r="76" spans="1:12" ht="150" customHeight="1" x14ac:dyDescent="0.3">
      <c r="A76" s="12" t="s">
        <v>667</v>
      </c>
      <c r="B76" s="19" t="s">
        <v>625</v>
      </c>
      <c r="C76" s="12" t="s">
        <v>651</v>
      </c>
      <c r="D76" s="12" t="s">
        <v>668</v>
      </c>
      <c r="E76" s="12" t="s">
        <v>59</v>
      </c>
      <c r="F76" s="12" t="s">
        <v>669</v>
      </c>
      <c r="G76" s="12" t="s">
        <v>670</v>
      </c>
      <c r="H76" s="12" t="s">
        <v>671</v>
      </c>
      <c r="I76" s="12" t="s">
        <v>672</v>
      </c>
      <c r="J76" s="12" t="s">
        <v>673</v>
      </c>
      <c r="K76" s="12" t="s">
        <v>55</v>
      </c>
      <c r="L76" s="12" t="s">
        <v>674</v>
      </c>
    </row>
    <row r="77" spans="1:12" ht="150" customHeight="1" x14ac:dyDescent="0.3">
      <c r="A77" s="9" t="s">
        <v>675</v>
      </c>
      <c r="B77" s="18" t="s">
        <v>625</v>
      </c>
      <c r="C77" s="9" t="s">
        <v>676</v>
      </c>
      <c r="D77" s="9" t="s">
        <v>677</v>
      </c>
      <c r="E77" s="11" t="s">
        <v>49</v>
      </c>
      <c r="F77" s="9" t="s">
        <v>678</v>
      </c>
      <c r="G77" s="12" t="s">
        <v>679</v>
      </c>
      <c r="H77" s="12" t="s">
        <v>680</v>
      </c>
      <c r="I77" s="12" t="s">
        <v>681</v>
      </c>
      <c r="J77" s="12" t="s">
        <v>682</v>
      </c>
      <c r="K77" s="12" t="s">
        <v>55</v>
      </c>
      <c r="L77" s="12" t="s">
        <v>683</v>
      </c>
    </row>
    <row r="78" spans="1:12" ht="150" customHeight="1" x14ac:dyDescent="0.3">
      <c r="A78" s="12" t="s">
        <v>684</v>
      </c>
      <c r="B78" s="19" t="s">
        <v>625</v>
      </c>
      <c r="C78" s="12" t="s">
        <v>676</v>
      </c>
      <c r="D78" s="12" t="s">
        <v>685</v>
      </c>
      <c r="E78" s="12" t="s">
        <v>59</v>
      </c>
      <c r="F78" s="12" t="s">
        <v>686</v>
      </c>
      <c r="G78" s="12" t="s">
        <v>687</v>
      </c>
      <c r="H78" s="12" t="s">
        <v>688</v>
      </c>
      <c r="I78" s="12" t="s">
        <v>689</v>
      </c>
      <c r="J78" s="12" t="s">
        <v>690</v>
      </c>
      <c r="K78" s="12" t="s">
        <v>55</v>
      </c>
      <c r="L78" s="12" t="s">
        <v>691</v>
      </c>
    </row>
    <row r="79" spans="1:12" ht="150" customHeight="1" x14ac:dyDescent="0.3">
      <c r="A79" s="12" t="s">
        <v>692</v>
      </c>
      <c r="B79" s="19" t="s">
        <v>625</v>
      </c>
      <c r="C79" s="12" t="s">
        <v>676</v>
      </c>
      <c r="D79" s="12" t="s">
        <v>693</v>
      </c>
      <c r="E79" s="12" t="s">
        <v>59</v>
      </c>
      <c r="F79" s="12" t="s">
        <v>694</v>
      </c>
      <c r="G79" s="12" t="s">
        <v>695</v>
      </c>
      <c r="H79" s="12" t="s">
        <v>696</v>
      </c>
      <c r="I79" s="12" t="s">
        <v>697</v>
      </c>
      <c r="J79" s="12" t="s">
        <v>698</v>
      </c>
      <c r="K79" s="12" t="s">
        <v>55</v>
      </c>
      <c r="L79" s="12" t="s">
        <v>699</v>
      </c>
    </row>
    <row r="80" spans="1:12" ht="150" customHeight="1" x14ac:dyDescent="0.3">
      <c r="A80" s="9" t="s">
        <v>700</v>
      </c>
      <c r="B80" s="18" t="s">
        <v>625</v>
      </c>
      <c r="C80" s="9" t="s">
        <v>701</v>
      </c>
      <c r="D80" s="9" t="s">
        <v>702</v>
      </c>
      <c r="E80" s="11" t="s">
        <v>49</v>
      </c>
      <c r="F80" s="9" t="s">
        <v>703</v>
      </c>
      <c r="G80" s="12" t="s">
        <v>704</v>
      </c>
      <c r="H80" s="12" t="s">
        <v>705</v>
      </c>
      <c r="I80" s="12" t="s">
        <v>706</v>
      </c>
      <c r="J80" s="12" t="s">
        <v>707</v>
      </c>
      <c r="K80" s="12" t="s">
        <v>55</v>
      </c>
      <c r="L80" s="12" t="s">
        <v>708</v>
      </c>
    </row>
    <row r="81" spans="1:12" ht="150" customHeight="1" x14ac:dyDescent="0.3">
      <c r="A81" s="12" t="s">
        <v>709</v>
      </c>
      <c r="B81" s="19" t="s">
        <v>625</v>
      </c>
      <c r="C81" s="12" t="s">
        <v>701</v>
      </c>
      <c r="D81" s="12" t="s">
        <v>710</v>
      </c>
      <c r="E81" s="12" t="s">
        <v>59</v>
      </c>
      <c r="F81" s="12" t="s">
        <v>711</v>
      </c>
      <c r="G81" s="12" t="s">
        <v>712</v>
      </c>
      <c r="H81" s="12" t="s">
        <v>713</v>
      </c>
      <c r="I81" s="12" t="s">
        <v>714</v>
      </c>
      <c r="J81" s="12" t="s">
        <v>715</v>
      </c>
      <c r="K81" s="12" t="s">
        <v>55</v>
      </c>
      <c r="L81" s="12" t="s">
        <v>716</v>
      </c>
    </row>
    <row r="82" spans="1:12" ht="150" customHeight="1" x14ac:dyDescent="0.3">
      <c r="A82" s="12" t="s">
        <v>717</v>
      </c>
      <c r="B82" s="19" t="s">
        <v>625</v>
      </c>
      <c r="C82" s="12" t="s">
        <v>701</v>
      </c>
      <c r="D82" s="12" t="s">
        <v>718</v>
      </c>
      <c r="E82" s="12" t="s">
        <v>59</v>
      </c>
      <c r="F82" s="12" t="s">
        <v>719</v>
      </c>
      <c r="G82" s="12" t="s">
        <v>720</v>
      </c>
      <c r="H82" s="12" t="s">
        <v>721</v>
      </c>
      <c r="I82" s="12" t="s">
        <v>722</v>
      </c>
      <c r="J82" s="12" t="s">
        <v>723</v>
      </c>
      <c r="K82" s="12" t="s">
        <v>55</v>
      </c>
      <c r="L82" s="12" t="s">
        <v>724</v>
      </c>
    </row>
    <row r="83" spans="1:12" ht="150" customHeight="1" x14ac:dyDescent="0.3">
      <c r="A83" s="9" t="s">
        <v>725</v>
      </c>
      <c r="B83" s="18" t="s">
        <v>625</v>
      </c>
      <c r="C83" s="9" t="s">
        <v>726</v>
      </c>
      <c r="D83" s="9" t="s">
        <v>727</v>
      </c>
      <c r="E83" s="11" t="s">
        <v>49</v>
      </c>
      <c r="F83" s="9" t="s">
        <v>728</v>
      </c>
      <c r="G83" s="12" t="s">
        <v>729</v>
      </c>
      <c r="H83" s="12" t="s">
        <v>730</v>
      </c>
      <c r="I83" s="12" t="s">
        <v>731</v>
      </c>
      <c r="J83" s="12" t="s">
        <v>732</v>
      </c>
      <c r="K83" s="12" t="s">
        <v>55</v>
      </c>
      <c r="L83" s="12" t="s">
        <v>733</v>
      </c>
    </row>
    <row r="84" spans="1:12" ht="150" customHeight="1" x14ac:dyDescent="0.3">
      <c r="A84" s="12" t="s">
        <v>734</v>
      </c>
      <c r="B84" s="19" t="s">
        <v>625</v>
      </c>
      <c r="C84" s="12" t="s">
        <v>726</v>
      </c>
      <c r="D84" s="12" t="s">
        <v>735</v>
      </c>
      <c r="E84" s="12" t="s">
        <v>59</v>
      </c>
      <c r="F84" s="12" t="s">
        <v>736</v>
      </c>
      <c r="G84" s="12" t="s">
        <v>737</v>
      </c>
      <c r="H84" s="12" t="s">
        <v>738</v>
      </c>
      <c r="I84" s="12" t="s">
        <v>739</v>
      </c>
      <c r="J84" s="12" t="s">
        <v>740</v>
      </c>
      <c r="K84" s="12" t="s">
        <v>55</v>
      </c>
      <c r="L84" s="12" t="s">
        <v>741</v>
      </c>
    </row>
    <row r="85" spans="1:12" ht="150" customHeight="1" x14ac:dyDescent="0.3">
      <c r="A85" s="12" t="s">
        <v>742</v>
      </c>
      <c r="B85" s="19" t="s">
        <v>625</v>
      </c>
      <c r="C85" s="12" t="s">
        <v>726</v>
      </c>
      <c r="D85" s="12" t="s">
        <v>743</v>
      </c>
      <c r="E85" s="12" t="s">
        <v>59</v>
      </c>
      <c r="F85" s="12" t="s">
        <v>744</v>
      </c>
      <c r="G85" s="12" t="s">
        <v>745</v>
      </c>
      <c r="H85" s="12" t="s">
        <v>746</v>
      </c>
      <c r="I85" s="12" t="s">
        <v>747</v>
      </c>
      <c r="J85" s="12" t="s">
        <v>748</v>
      </c>
      <c r="K85" s="12" t="s">
        <v>55</v>
      </c>
      <c r="L85" s="12" t="s">
        <v>749</v>
      </c>
    </row>
    <row r="86" spans="1:12" ht="150" customHeight="1" x14ac:dyDescent="0.3">
      <c r="A86" s="9" t="s">
        <v>750</v>
      </c>
      <c r="B86" s="18" t="s">
        <v>625</v>
      </c>
      <c r="C86" s="9" t="s">
        <v>751</v>
      </c>
      <c r="D86" s="9" t="s">
        <v>752</v>
      </c>
      <c r="E86" s="11" t="s">
        <v>49</v>
      </c>
      <c r="F86" s="9" t="s">
        <v>753</v>
      </c>
      <c r="G86" s="12" t="s">
        <v>754</v>
      </c>
      <c r="H86" s="12" t="s">
        <v>755</v>
      </c>
      <c r="I86" s="12" t="s">
        <v>756</v>
      </c>
      <c r="J86" s="12" t="s">
        <v>757</v>
      </c>
      <c r="K86" s="12" t="s">
        <v>55</v>
      </c>
      <c r="L86" s="12" t="s">
        <v>758</v>
      </c>
    </row>
    <row r="87" spans="1:12" ht="150" customHeight="1" x14ac:dyDescent="0.3">
      <c r="A87" s="12" t="s">
        <v>759</v>
      </c>
      <c r="B87" s="19" t="s">
        <v>625</v>
      </c>
      <c r="C87" s="12" t="s">
        <v>751</v>
      </c>
      <c r="D87" s="12" t="s">
        <v>760</v>
      </c>
      <c r="E87" s="12" t="s">
        <v>59</v>
      </c>
      <c r="F87" s="12" t="s">
        <v>761</v>
      </c>
      <c r="G87" s="12" t="s">
        <v>762</v>
      </c>
      <c r="H87" s="12" t="s">
        <v>763</v>
      </c>
      <c r="I87" s="12" t="s">
        <v>764</v>
      </c>
      <c r="J87" s="12" t="s">
        <v>765</v>
      </c>
      <c r="K87" s="12" t="s">
        <v>55</v>
      </c>
      <c r="L87" s="12" t="s">
        <v>766</v>
      </c>
    </row>
    <row r="88" spans="1:12" ht="150" customHeight="1" x14ac:dyDescent="0.3">
      <c r="A88" s="12" t="s">
        <v>767</v>
      </c>
      <c r="B88" s="19" t="s">
        <v>625</v>
      </c>
      <c r="C88" s="12" t="s">
        <v>751</v>
      </c>
      <c r="D88" s="12" t="s">
        <v>768</v>
      </c>
      <c r="E88" s="12" t="s">
        <v>59</v>
      </c>
      <c r="F88" s="12" t="s">
        <v>769</v>
      </c>
      <c r="G88" s="12" t="s">
        <v>770</v>
      </c>
      <c r="H88" s="12" t="s">
        <v>771</v>
      </c>
      <c r="I88" s="12" t="s">
        <v>772</v>
      </c>
      <c r="J88" s="12" t="s">
        <v>773</v>
      </c>
      <c r="K88" s="12" t="s">
        <v>55</v>
      </c>
      <c r="L88" s="12" t="s">
        <v>774</v>
      </c>
    </row>
    <row r="89" spans="1:12" ht="150" customHeight="1" x14ac:dyDescent="0.3">
      <c r="A89" s="9" t="s">
        <v>775</v>
      </c>
      <c r="B89" s="20" t="s">
        <v>776</v>
      </c>
      <c r="C89" s="9" t="s">
        <v>777</v>
      </c>
      <c r="D89" s="9" t="s">
        <v>778</v>
      </c>
      <c r="E89" s="11" t="s">
        <v>49</v>
      </c>
      <c r="F89" s="9" t="s">
        <v>779</v>
      </c>
      <c r="G89" s="12" t="s">
        <v>780</v>
      </c>
      <c r="H89" s="12" t="s">
        <v>781</v>
      </c>
      <c r="I89" s="12" t="s">
        <v>782</v>
      </c>
      <c r="J89" s="12" t="s">
        <v>783</v>
      </c>
      <c r="K89" s="12" t="s">
        <v>55</v>
      </c>
      <c r="L89" s="12" t="s">
        <v>784</v>
      </c>
    </row>
    <row r="90" spans="1:12" ht="150" customHeight="1" x14ac:dyDescent="0.3">
      <c r="A90" s="12" t="s">
        <v>785</v>
      </c>
      <c r="B90" s="21" t="s">
        <v>776</v>
      </c>
      <c r="C90" s="12" t="s">
        <v>777</v>
      </c>
      <c r="D90" s="12" t="s">
        <v>786</v>
      </c>
      <c r="E90" s="12" t="s">
        <v>59</v>
      </c>
      <c r="F90" s="12" t="s">
        <v>787</v>
      </c>
      <c r="G90" s="12" t="s">
        <v>788</v>
      </c>
      <c r="H90" s="12" t="s">
        <v>789</v>
      </c>
      <c r="I90" s="12" t="s">
        <v>790</v>
      </c>
      <c r="J90" s="12" t="s">
        <v>791</v>
      </c>
      <c r="K90" s="12" t="s">
        <v>55</v>
      </c>
      <c r="L90" s="12" t="s">
        <v>792</v>
      </c>
    </row>
    <row r="91" spans="1:12" ht="150" customHeight="1" x14ac:dyDescent="0.3">
      <c r="A91" s="12" t="s">
        <v>793</v>
      </c>
      <c r="B91" s="21" t="s">
        <v>776</v>
      </c>
      <c r="C91" s="12" t="s">
        <v>777</v>
      </c>
      <c r="D91" s="12" t="s">
        <v>794</v>
      </c>
      <c r="E91" s="12" t="s">
        <v>59</v>
      </c>
      <c r="F91" s="12" t="s">
        <v>795</v>
      </c>
      <c r="G91" s="12" t="s">
        <v>796</v>
      </c>
      <c r="H91" s="12" t="s">
        <v>797</v>
      </c>
      <c r="I91" s="12" t="s">
        <v>798</v>
      </c>
      <c r="J91" s="12" t="s">
        <v>799</v>
      </c>
      <c r="K91" s="12" t="s">
        <v>55</v>
      </c>
      <c r="L91" s="12" t="s">
        <v>800</v>
      </c>
    </row>
    <row r="92" spans="1:12" ht="150" customHeight="1" x14ac:dyDescent="0.3">
      <c r="A92" s="9" t="s">
        <v>801</v>
      </c>
      <c r="B92" s="20" t="s">
        <v>776</v>
      </c>
      <c r="C92" s="9" t="s">
        <v>802</v>
      </c>
      <c r="D92" s="9" t="s">
        <v>803</v>
      </c>
      <c r="E92" s="11" t="s">
        <v>49</v>
      </c>
      <c r="F92" s="9" t="s">
        <v>804</v>
      </c>
      <c r="G92" s="12" t="s">
        <v>805</v>
      </c>
      <c r="H92" s="12" t="s">
        <v>806</v>
      </c>
      <c r="I92" s="12" t="s">
        <v>807</v>
      </c>
      <c r="J92" s="12" t="s">
        <v>808</v>
      </c>
      <c r="K92" s="12" t="s">
        <v>55</v>
      </c>
      <c r="L92" s="12" t="s">
        <v>809</v>
      </c>
    </row>
    <row r="93" spans="1:12" ht="150" customHeight="1" x14ac:dyDescent="0.3">
      <c r="A93" s="12" t="s">
        <v>810</v>
      </c>
      <c r="B93" s="21" t="s">
        <v>776</v>
      </c>
      <c r="C93" s="12" t="s">
        <v>802</v>
      </c>
      <c r="D93" s="12" t="s">
        <v>811</v>
      </c>
      <c r="E93" s="12" t="s">
        <v>59</v>
      </c>
      <c r="F93" s="12" t="s">
        <v>812</v>
      </c>
      <c r="G93" s="12" t="s">
        <v>813</v>
      </c>
      <c r="H93" s="12" t="s">
        <v>814</v>
      </c>
      <c r="I93" s="12" t="s">
        <v>815</v>
      </c>
      <c r="J93" s="12" t="s">
        <v>816</v>
      </c>
      <c r="K93" s="12" t="s">
        <v>55</v>
      </c>
      <c r="L93" s="12" t="s">
        <v>817</v>
      </c>
    </row>
    <row r="94" spans="1:12" ht="150" customHeight="1" x14ac:dyDescent="0.3">
      <c r="A94" s="12" t="s">
        <v>818</v>
      </c>
      <c r="B94" s="21" t="s">
        <v>776</v>
      </c>
      <c r="C94" s="12" t="s">
        <v>802</v>
      </c>
      <c r="D94" s="12" t="s">
        <v>819</v>
      </c>
      <c r="E94" s="12" t="s">
        <v>59</v>
      </c>
      <c r="F94" s="12" t="s">
        <v>820</v>
      </c>
      <c r="G94" s="12" t="s">
        <v>821</v>
      </c>
      <c r="H94" s="12" t="s">
        <v>822</v>
      </c>
      <c r="I94" s="12" t="s">
        <v>823</v>
      </c>
      <c r="J94" s="12" t="s">
        <v>824</v>
      </c>
      <c r="K94" s="12" t="s">
        <v>55</v>
      </c>
      <c r="L94" s="12" t="s">
        <v>825</v>
      </c>
    </row>
    <row r="95" spans="1:12" ht="150" customHeight="1" x14ac:dyDescent="0.3">
      <c r="A95" s="9" t="s">
        <v>826</v>
      </c>
      <c r="B95" s="20" t="s">
        <v>776</v>
      </c>
      <c r="C95" s="9" t="s">
        <v>827</v>
      </c>
      <c r="D95" s="9" t="s">
        <v>828</v>
      </c>
      <c r="E95" s="11" t="s">
        <v>49</v>
      </c>
      <c r="F95" s="9" t="s">
        <v>829</v>
      </c>
      <c r="G95" s="12" t="s">
        <v>830</v>
      </c>
      <c r="H95" s="12" t="s">
        <v>831</v>
      </c>
      <c r="I95" s="12" t="s">
        <v>832</v>
      </c>
      <c r="J95" s="12" t="s">
        <v>833</v>
      </c>
      <c r="K95" s="12" t="s">
        <v>55</v>
      </c>
      <c r="L95" s="12" t="s">
        <v>834</v>
      </c>
    </row>
    <row r="96" spans="1:12" ht="150" customHeight="1" x14ac:dyDescent="0.3">
      <c r="A96" s="12" t="s">
        <v>835</v>
      </c>
      <c r="B96" s="21" t="s">
        <v>776</v>
      </c>
      <c r="C96" s="12" t="s">
        <v>827</v>
      </c>
      <c r="D96" s="12" t="s">
        <v>836</v>
      </c>
      <c r="E96" s="12" t="s">
        <v>59</v>
      </c>
      <c r="F96" s="12" t="s">
        <v>837</v>
      </c>
      <c r="G96" s="12" t="s">
        <v>838</v>
      </c>
      <c r="H96" s="12" t="s">
        <v>839</v>
      </c>
      <c r="I96" s="12" t="s">
        <v>840</v>
      </c>
      <c r="J96" s="12" t="s">
        <v>841</v>
      </c>
      <c r="K96" s="12" t="s">
        <v>55</v>
      </c>
      <c r="L96" s="12" t="s">
        <v>842</v>
      </c>
    </row>
    <row r="97" spans="1:12" ht="150" customHeight="1" x14ac:dyDescent="0.3">
      <c r="A97" s="12" t="s">
        <v>843</v>
      </c>
      <c r="B97" s="21" t="s">
        <v>776</v>
      </c>
      <c r="C97" s="12" t="s">
        <v>827</v>
      </c>
      <c r="D97" s="12" t="s">
        <v>844</v>
      </c>
      <c r="E97" s="12" t="s">
        <v>59</v>
      </c>
      <c r="F97" s="12" t="s">
        <v>845</v>
      </c>
      <c r="G97" s="12" t="s">
        <v>846</v>
      </c>
      <c r="H97" s="12" t="s">
        <v>847</v>
      </c>
      <c r="I97" s="12" t="s">
        <v>848</v>
      </c>
      <c r="J97" s="12" t="s">
        <v>849</v>
      </c>
      <c r="K97" s="12" t="s">
        <v>55</v>
      </c>
      <c r="L97" s="12" t="s">
        <v>850</v>
      </c>
    </row>
    <row r="98" spans="1:12" ht="150" customHeight="1" x14ac:dyDescent="0.3">
      <c r="A98" s="9" t="s">
        <v>851</v>
      </c>
      <c r="B98" s="20" t="s">
        <v>776</v>
      </c>
      <c r="C98" s="9" t="s">
        <v>852</v>
      </c>
      <c r="D98" s="9" t="s">
        <v>853</v>
      </c>
      <c r="E98" s="11" t="s">
        <v>49</v>
      </c>
      <c r="F98" s="9" t="s">
        <v>854</v>
      </c>
      <c r="G98" s="12" t="s">
        <v>855</v>
      </c>
      <c r="H98" s="12" t="s">
        <v>856</v>
      </c>
      <c r="I98" s="12" t="s">
        <v>857</v>
      </c>
      <c r="J98" s="12" t="s">
        <v>858</v>
      </c>
      <c r="K98" s="12" t="s">
        <v>55</v>
      </c>
      <c r="L98" s="12" t="s">
        <v>859</v>
      </c>
    </row>
    <row r="99" spans="1:12" ht="150" customHeight="1" x14ac:dyDescent="0.3">
      <c r="A99" s="12" t="s">
        <v>860</v>
      </c>
      <c r="B99" s="21" t="s">
        <v>776</v>
      </c>
      <c r="C99" s="12" t="s">
        <v>852</v>
      </c>
      <c r="D99" s="12" t="s">
        <v>861</v>
      </c>
      <c r="E99" s="12" t="s">
        <v>59</v>
      </c>
      <c r="F99" s="12" t="s">
        <v>862</v>
      </c>
      <c r="G99" s="12" t="s">
        <v>863</v>
      </c>
      <c r="H99" s="12" t="s">
        <v>864</v>
      </c>
      <c r="I99" s="12" t="s">
        <v>865</v>
      </c>
      <c r="J99" s="12" t="s">
        <v>866</v>
      </c>
      <c r="K99" s="12" t="s">
        <v>55</v>
      </c>
      <c r="L99" s="12" t="s">
        <v>867</v>
      </c>
    </row>
    <row r="100" spans="1:12" ht="150" customHeight="1" x14ac:dyDescent="0.3">
      <c r="A100" s="12" t="s">
        <v>868</v>
      </c>
      <c r="B100" s="21" t="s">
        <v>776</v>
      </c>
      <c r="C100" s="12" t="s">
        <v>852</v>
      </c>
      <c r="D100" s="12" t="s">
        <v>869</v>
      </c>
      <c r="E100" s="12" t="s">
        <v>59</v>
      </c>
      <c r="F100" s="12" t="s">
        <v>870</v>
      </c>
      <c r="G100" s="12" t="s">
        <v>871</v>
      </c>
      <c r="H100" s="12" t="s">
        <v>872</v>
      </c>
      <c r="I100" s="12" t="s">
        <v>873</v>
      </c>
      <c r="J100" s="12" t="s">
        <v>874</v>
      </c>
      <c r="K100" s="12" t="s">
        <v>55</v>
      </c>
      <c r="L100" s="12" t="s">
        <v>875</v>
      </c>
    </row>
    <row r="101" spans="1:12" ht="150" customHeight="1" x14ac:dyDescent="0.3">
      <c r="A101" s="9" t="s">
        <v>876</v>
      </c>
      <c r="B101" s="20" t="s">
        <v>776</v>
      </c>
      <c r="C101" s="9" t="s">
        <v>877</v>
      </c>
      <c r="D101" s="9" t="s">
        <v>878</v>
      </c>
      <c r="E101" s="11" t="s">
        <v>49</v>
      </c>
      <c r="F101" s="9" t="s">
        <v>879</v>
      </c>
      <c r="G101" s="12" t="s">
        <v>880</v>
      </c>
      <c r="H101" s="12" t="s">
        <v>881</v>
      </c>
      <c r="I101" s="12" t="s">
        <v>882</v>
      </c>
      <c r="J101" s="12" t="s">
        <v>883</v>
      </c>
      <c r="K101" s="12" t="s">
        <v>55</v>
      </c>
      <c r="L101" s="12" t="s">
        <v>884</v>
      </c>
    </row>
    <row r="102" spans="1:12" ht="150" customHeight="1" x14ac:dyDescent="0.3">
      <c r="A102" s="12" t="s">
        <v>885</v>
      </c>
      <c r="B102" s="21" t="s">
        <v>776</v>
      </c>
      <c r="C102" s="12" t="s">
        <v>877</v>
      </c>
      <c r="D102" s="12" t="s">
        <v>886</v>
      </c>
      <c r="E102" s="12" t="s">
        <v>59</v>
      </c>
      <c r="F102" s="12" t="s">
        <v>887</v>
      </c>
      <c r="G102" s="12" t="s">
        <v>888</v>
      </c>
      <c r="H102" s="12" t="s">
        <v>889</v>
      </c>
      <c r="I102" s="12" t="s">
        <v>890</v>
      </c>
      <c r="J102" s="12" t="s">
        <v>891</v>
      </c>
      <c r="K102" s="12" t="s">
        <v>55</v>
      </c>
      <c r="L102" s="12" t="s">
        <v>892</v>
      </c>
    </row>
    <row r="103" spans="1:12" ht="150" customHeight="1" x14ac:dyDescent="0.3">
      <c r="A103" s="12" t="s">
        <v>893</v>
      </c>
      <c r="B103" s="21" t="s">
        <v>776</v>
      </c>
      <c r="C103" s="12" t="s">
        <v>877</v>
      </c>
      <c r="D103" s="12" t="s">
        <v>894</v>
      </c>
      <c r="E103" s="12" t="s">
        <v>59</v>
      </c>
      <c r="F103" s="12" t="s">
        <v>895</v>
      </c>
      <c r="G103" s="12" t="s">
        <v>896</v>
      </c>
      <c r="H103" s="12" t="s">
        <v>897</v>
      </c>
      <c r="I103" s="12" t="s">
        <v>898</v>
      </c>
      <c r="J103" s="12" t="s">
        <v>899</v>
      </c>
      <c r="K103" s="12" t="s">
        <v>55</v>
      </c>
      <c r="L103" s="12" t="s">
        <v>900</v>
      </c>
    </row>
    <row r="104" spans="1:12" ht="150" customHeight="1" x14ac:dyDescent="0.3">
      <c r="A104" s="9" t="s">
        <v>901</v>
      </c>
      <c r="B104" s="20" t="s">
        <v>776</v>
      </c>
      <c r="C104" s="9" t="s">
        <v>902</v>
      </c>
      <c r="D104" s="9" t="s">
        <v>903</v>
      </c>
      <c r="E104" s="11" t="s">
        <v>49</v>
      </c>
      <c r="F104" s="9" t="s">
        <v>904</v>
      </c>
      <c r="G104" s="12" t="s">
        <v>905</v>
      </c>
      <c r="H104" s="12" t="s">
        <v>906</v>
      </c>
      <c r="I104" s="12" t="s">
        <v>907</v>
      </c>
      <c r="J104" s="12" t="s">
        <v>908</v>
      </c>
      <c r="K104" s="12" t="s">
        <v>55</v>
      </c>
      <c r="L104" s="12" t="s">
        <v>909</v>
      </c>
    </row>
    <row r="105" spans="1:12" ht="150" customHeight="1" x14ac:dyDescent="0.3">
      <c r="A105" s="12" t="s">
        <v>910</v>
      </c>
      <c r="B105" s="21" t="s">
        <v>776</v>
      </c>
      <c r="C105" s="12" t="s">
        <v>902</v>
      </c>
      <c r="D105" s="12" t="s">
        <v>911</v>
      </c>
      <c r="E105" s="12" t="s">
        <v>59</v>
      </c>
      <c r="F105" s="12" t="s">
        <v>912</v>
      </c>
      <c r="G105" s="12" t="s">
        <v>913</v>
      </c>
      <c r="H105" s="12" t="s">
        <v>914</v>
      </c>
      <c r="I105" s="12" t="s">
        <v>915</v>
      </c>
      <c r="J105" s="12" t="s">
        <v>916</v>
      </c>
      <c r="K105" s="12" t="s">
        <v>55</v>
      </c>
      <c r="L105" s="12" t="s">
        <v>917</v>
      </c>
    </row>
    <row r="106" spans="1:12" ht="150" customHeight="1" x14ac:dyDescent="0.3">
      <c r="A106" s="12" t="s">
        <v>918</v>
      </c>
      <c r="B106" s="21" t="s">
        <v>776</v>
      </c>
      <c r="C106" s="12" t="s">
        <v>902</v>
      </c>
      <c r="D106" s="12" t="s">
        <v>919</v>
      </c>
      <c r="E106" s="12" t="s">
        <v>59</v>
      </c>
      <c r="F106" s="12" t="s">
        <v>920</v>
      </c>
      <c r="G106" s="12" t="s">
        <v>921</v>
      </c>
      <c r="H106" s="12" t="s">
        <v>922</v>
      </c>
      <c r="I106" s="12" t="s">
        <v>923</v>
      </c>
      <c r="J106" s="12" t="s">
        <v>924</v>
      </c>
      <c r="K106" s="12" t="s">
        <v>55</v>
      </c>
      <c r="L106" s="12" t="s">
        <v>925</v>
      </c>
    </row>
    <row r="107" spans="1:12" ht="150" customHeight="1" x14ac:dyDescent="0.3">
      <c r="A107" s="9" t="s">
        <v>926</v>
      </c>
      <c r="B107" s="22" t="s">
        <v>927</v>
      </c>
      <c r="C107" s="9" t="s">
        <v>928</v>
      </c>
      <c r="D107" s="9" t="s">
        <v>929</v>
      </c>
      <c r="E107" s="11" t="s">
        <v>49</v>
      </c>
      <c r="F107" s="9" t="s">
        <v>930</v>
      </c>
      <c r="G107" s="12" t="s">
        <v>931</v>
      </c>
      <c r="H107" s="12" t="s">
        <v>932</v>
      </c>
      <c r="I107" s="12" t="s">
        <v>933</v>
      </c>
      <c r="J107" s="12" t="s">
        <v>934</v>
      </c>
      <c r="K107" s="12" t="s">
        <v>55</v>
      </c>
      <c r="L107" s="12" t="s">
        <v>935</v>
      </c>
    </row>
    <row r="108" spans="1:12" ht="150" customHeight="1" x14ac:dyDescent="0.3">
      <c r="A108" s="12" t="s">
        <v>936</v>
      </c>
      <c r="B108" s="23" t="s">
        <v>927</v>
      </c>
      <c r="C108" s="12" t="s">
        <v>928</v>
      </c>
      <c r="D108" s="12" t="s">
        <v>937</v>
      </c>
      <c r="E108" s="12" t="s">
        <v>59</v>
      </c>
      <c r="F108" s="12" t="s">
        <v>938</v>
      </c>
      <c r="G108" s="12" t="s">
        <v>939</v>
      </c>
      <c r="H108" s="12" t="s">
        <v>940</v>
      </c>
      <c r="I108" s="12" t="s">
        <v>941</v>
      </c>
      <c r="J108" s="12" t="s">
        <v>942</v>
      </c>
      <c r="K108" s="12" t="s">
        <v>55</v>
      </c>
      <c r="L108" s="12" t="s">
        <v>943</v>
      </c>
    </row>
    <row r="109" spans="1:12" ht="150" customHeight="1" x14ac:dyDescent="0.3">
      <c r="A109" s="12" t="s">
        <v>944</v>
      </c>
      <c r="B109" s="23" t="s">
        <v>927</v>
      </c>
      <c r="C109" s="12" t="s">
        <v>928</v>
      </c>
      <c r="D109" s="12" t="s">
        <v>945</v>
      </c>
      <c r="E109" s="12" t="s">
        <v>59</v>
      </c>
      <c r="F109" s="12" t="s">
        <v>946</v>
      </c>
      <c r="G109" s="12" t="s">
        <v>947</v>
      </c>
      <c r="H109" s="12" t="s">
        <v>948</v>
      </c>
      <c r="I109" s="12" t="s">
        <v>949</v>
      </c>
      <c r="J109" s="12" t="s">
        <v>950</v>
      </c>
      <c r="K109" s="12" t="s">
        <v>55</v>
      </c>
      <c r="L109" s="12" t="s">
        <v>951</v>
      </c>
    </row>
    <row r="110" spans="1:12" ht="150" customHeight="1" x14ac:dyDescent="0.3">
      <c r="A110" s="9" t="s">
        <v>952</v>
      </c>
      <c r="B110" s="22" t="s">
        <v>927</v>
      </c>
      <c r="C110" s="9" t="s">
        <v>953</v>
      </c>
      <c r="D110" s="9" t="s">
        <v>954</v>
      </c>
      <c r="E110" s="11" t="s">
        <v>49</v>
      </c>
      <c r="F110" s="9" t="s">
        <v>955</v>
      </c>
      <c r="G110" s="12" t="s">
        <v>956</v>
      </c>
      <c r="H110" s="12" t="s">
        <v>957</v>
      </c>
      <c r="I110" s="12" t="s">
        <v>958</v>
      </c>
      <c r="J110" s="12" t="s">
        <v>959</v>
      </c>
      <c r="K110" s="12" t="s">
        <v>55</v>
      </c>
      <c r="L110" s="12" t="s">
        <v>960</v>
      </c>
    </row>
    <row r="111" spans="1:12" ht="150" customHeight="1" x14ac:dyDescent="0.3">
      <c r="A111" s="12" t="s">
        <v>961</v>
      </c>
      <c r="B111" s="23" t="s">
        <v>927</v>
      </c>
      <c r="C111" s="12" t="s">
        <v>953</v>
      </c>
      <c r="D111" s="12" t="s">
        <v>962</v>
      </c>
      <c r="E111" s="12" t="s">
        <v>59</v>
      </c>
      <c r="F111" s="12" t="s">
        <v>963</v>
      </c>
      <c r="G111" s="12" t="s">
        <v>964</v>
      </c>
      <c r="H111" s="12" t="s">
        <v>965</v>
      </c>
      <c r="I111" s="12" t="s">
        <v>966</v>
      </c>
      <c r="J111" s="12" t="s">
        <v>967</v>
      </c>
      <c r="K111" s="12" t="s">
        <v>55</v>
      </c>
      <c r="L111" s="12" t="s">
        <v>968</v>
      </c>
    </row>
    <row r="112" spans="1:12" ht="150" customHeight="1" x14ac:dyDescent="0.3">
      <c r="A112" s="12" t="s">
        <v>969</v>
      </c>
      <c r="B112" s="23" t="s">
        <v>927</v>
      </c>
      <c r="C112" s="12" t="s">
        <v>953</v>
      </c>
      <c r="D112" s="12" t="s">
        <v>970</v>
      </c>
      <c r="E112" s="12" t="s">
        <v>59</v>
      </c>
      <c r="F112" s="12" t="s">
        <v>971</v>
      </c>
      <c r="G112" s="12" t="s">
        <v>972</v>
      </c>
      <c r="H112" s="12" t="s">
        <v>973</v>
      </c>
      <c r="I112" s="12" t="s">
        <v>974</v>
      </c>
      <c r="J112" s="12" t="s">
        <v>975</v>
      </c>
      <c r="K112" s="12" t="s">
        <v>55</v>
      </c>
      <c r="L112" s="12" t="s">
        <v>976</v>
      </c>
    </row>
    <row r="113" spans="1:12" ht="150" customHeight="1" x14ac:dyDescent="0.3">
      <c r="A113" s="9" t="s">
        <v>977</v>
      </c>
      <c r="B113" s="22" t="s">
        <v>927</v>
      </c>
      <c r="C113" s="9" t="s">
        <v>978</v>
      </c>
      <c r="D113" s="9" t="s">
        <v>979</v>
      </c>
      <c r="E113" s="11" t="s">
        <v>49</v>
      </c>
      <c r="F113" s="9" t="s">
        <v>980</v>
      </c>
      <c r="G113" s="12" t="s">
        <v>981</v>
      </c>
      <c r="H113" s="12" t="s">
        <v>982</v>
      </c>
      <c r="I113" s="12" t="s">
        <v>983</v>
      </c>
      <c r="J113" s="12" t="s">
        <v>984</v>
      </c>
      <c r="K113" s="12" t="s">
        <v>55</v>
      </c>
      <c r="L113" s="12" t="s">
        <v>985</v>
      </c>
    </row>
    <row r="114" spans="1:12" ht="150" customHeight="1" x14ac:dyDescent="0.3">
      <c r="A114" s="12" t="s">
        <v>986</v>
      </c>
      <c r="B114" s="23" t="s">
        <v>927</v>
      </c>
      <c r="C114" s="12" t="s">
        <v>978</v>
      </c>
      <c r="D114" s="12" t="s">
        <v>987</v>
      </c>
      <c r="E114" s="12" t="s">
        <v>59</v>
      </c>
      <c r="F114" s="12" t="s">
        <v>988</v>
      </c>
      <c r="G114" s="12" t="s">
        <v>989</v>
      </c>
      <c r="H114" s="12" t="s">
        <v>990</v>
      </c>
      <c r="I114" s="12" t="s">
        <v>991</v>
      </c>
      <c r="J114" s="12" t="s">
        <v>992</v>
      </c>
      <c r="K114" s="12" t="s">
        <v>55</v>
      </c>
      <c r="L114" s="12" t="s">
        <v>993</v>
      </c>
    </row>
    <row r="115" spans="1:12" ht="150" customHeight="1" x14ac:dyDescent="0.3">
      <c r="A115" s="12" t="s">
        <v>994</v>
      </c>
      <c r="B115" s="23" t="s">
        <v>927</v>
      </c>
      <c r="C115" s="12" t="s">
        <v>978</v>
      </c>
      <c r="D115" s="12" t="s">
        <v>995</v>
      </c>
      <c r="E115" s="12" t="s">
        <v>59</v>
      </c>
      <c r="F115" s="12" t="s">
        <v>996</v>
      </c>
      <c r="G115" s="12" t="s">
        <v>997</v>
      </c>
      <c r="H115" s="12" t="s">
        <v>998</v>
      </c>
      <c r="I115" s="12" t="s">
        <v>999</v>
      </c>
      <c r="J115" s="12" t="s">
        <v>1000</v>
      </c>
      <c r="K115" s="12" t="s">
        <v>55</v>
      </c>
      <c r="L115" s="12" t="s">
        <v>1001</v>
      </c>
    </row>
    <row r="116" spans="1:12" ht="150" customHeight="1" x14ac:dyDescent="0.3">
      <c r="A116" s="9" t="s">
        <v>1002</v>
      </c>
      <c r="B116" s="22" t="s">
        <v>927</v>
      </c>
      <c r="C116" s="9" t="s">
        <v>1003</v>
      </c>
      <c r="D116" s="9" t="s">
        <v>1004</v>
      </c>
      <c r="E116" s="11" t="s">
        <v>49</v>
      </c>
      <c r="F116" s="9" t="s">
        <v>1005</v>
      </c>
      <c r="G116" s="12" t="s">
        <v>1006</v>
      </c>
      <c r="H116" s="12" t="s">
        <v>1007</v>
      </c>
      <c r="I116" s="12" t="s">
        <v>1008</v>
      </c>
      <c r="J116" s="12" t="s">
        <v>1009</v>
      </c>
      <c r="K116" s="12" t="s">
        <v>55</v>
      </c>
      <c r="L116" s="12" t="s">
        <v>1010</v>
      </c>
    </row>
    <row r="117" spans="1:12" ht="150" customHeight="1" x14ac:dyDescent="0.3">
      <c r="A117" s="12" t="s">
        <v>1011</v>
      </c>
      <c r="B117" s="23" t="s">
        <v>927</v>
      </c>
      <c r="C117" s="12" t="s">
        <v>1003</v>
      </c>
      <c r="D117" s="12" t="s">
        <v>1012</v>
      </c>
      <c r="E117" s="12" t="s">
        <v>59</v>
      </c>
      <c r="F117" s="12" t="s">
        <v>1013</v>
      </c>
      <c r="G117" s="12" t="s">
        <v>1014</v>
      </c>
      <c r="H117" s="12" t="s">
        <v>1015</v>
      </c>
      <c r="I117" s="12" t="s">
        <v>1016</v>
      </c>
      <c r="J117" s="12" t="s">
        <v>1017</v>
      </c>
      <c r="K117" s="12" t="s">
        <v>55</v>
      </c>
      <c r="L117" s="12" t="s">
        <v>1018</v>
      </c>
    </row>
    <row r="118" spans="1:12" ht="150" customHeight="1" x14ac:dyDescent="0.3">
      <c r="A118" s="12" t="s">
        <v>1019</v>
      </c>
      <c r="B118" s="23" t="s">
        <v>927</v>
      </c>
      <c r="C118" s="12" t="s">
        <v>1003</v>
      </c>
      <c r="D118" s="12" t="s">
        <v>1020</v>
      </c>
      <c r="E118" s="12" t="s">
        <v>59</v>
      </c>
      <c r="F118" s="12" t="s">
        <v>1021</v>
      </c>
      <c r="G118" s="12" t="s">
        <v>1022</v>
      </c>
      <c r="H118" s="12" t="s">
        <v>1023</v>
      </c>
      <c r="I118" s="12" t="s">
        <v>1024</v>
      </c>
      <c r="J118" s="12" t="s">
        <v>1025</v>
      </c>
      <c r="K118" s="12" t="s">
        <v>55</v>
      </c>
      <c r="L118" s="12" t="s">
        <v>1026</v>
      </c>
    </row>
    <row r="119" spans="1:12" ht="150" customHeight="1" x14ac:dyDescent="0.3">
      <c r="A119" s="9" t="s">
        <v>1027</v>
      </c>
      <c r="B119" s="22" t="s">
        <v>927</v>
      </c>
      <c r="C119" s="9" t="s">
        <v>1028</v>
      </c>
      <c r="D119" s="9" t="s">
        <v>1029</v>
      </c>
      <c r="E119" s="11" t="s">
        <v>49</v>
      </c>
      <c r="F119" s="9" t="s">
        <v>1030</v>
      </c>
      <c r="G119" s="12" t="s">
        <v>1031</v>
      </c>
      <c r="H119" s="12" t="s">
        <v>1032</v>
      </c>
      <c r="I119" s="12" t="s">
        <v>1033</v>
      </c>
      <c r="J119" s="12" t="s">
        <v>1034</v>
      </c>
      <c r="K119" s="12" t="s">
        <v>55</v>
      </c>
      <c r="L119" s="12" t="s">
        <v>1035</v>
      </c>
    </row>
    <row r="120" spans="1:12" ht="150" customHeight="1" x14ac:dyDescent="0.3">
      <c r="A120" s="12" t="s">
        <v>1036</v>
      </c>
      <c r="B120" s="23" t="s">
        <v>927</v>
      </c>
      <c r="C120" s="12" t="s">
        <v>1028</v>
      </c>
      <c r="D120" s="12" t="s">
        <v>1037</v>
      </c>
      <c r="E120" s="12" t="s">
        <v>59</v>
      </c>
      <c r="F120" s="12" t="s">
        <v>1038</v>
      </c>
      <c r="G120" s="12" t="s">
        <v>1039</v>
      </c>
      <c r="H120" s="12" t="s">
        <v>1040</v>
      </c>
      <c r="I120" s="12" t="s">
        <v>1041</v>
      </c>
      <c r="J120" s="12" t="s">
        <v>1042</v>
      </c>
      <c r="K120" s="12" t="s">
        <v>55</v>
      </c>
      <c r="L120" s="12" t="s">
        <v>1043</v>
      </c>
    </row>
    <row r="121" spans="1:12" ht="150" customHeight="1" x14ac:dyDescent="0.3">
      <c r="A121" s="12" t="s">
        <v>1044</v>
      </c>
      <c r="B121" s="23" t="s">
        <v>927</v>
      </c>
      <c r="C121" s="12" t="s">
        <v>1028</v>
      </c>
      <c r="D121" s="12" t="s">
        <v>1045</v>
      </c>
      <c r="E121" s="12" t="s">
        <v>59</v>
      </c>
      <c r="F121" s="12" t="s">
        <v>1046</v>
      </c>
      <c r="G121" s="12" t="s">
        <v>1047</v>
      </c>
      <c r="H121" s="12" t="s">
        <v>1048</v>
      </c>
      <c r="I121" s="12" t="s">
        <v>1049</v>
      </c>
      <c r="J121" s="12" t="s">
        <v>1050</v>
      </c>
      <c r="K121" s="12" t="s">
        <v>55</v>
      </c>
      <c r="L121" s="12" t="s">
        <v>1051</v>
      </c>
    </row>
    <row r="122" spans="1:12" ht="150" customHeight="1" x14ac:dyDescent="0.3">
      <c r="A122" s="9" t="s">
        <v>1052</v>
      </c>
      <c r="B122" s="22" t="s">
        <v>927</v>
      </c>
      <c r="C122" s="9" t="s">
        <v>1053</v>
      </c>
      <c r="D122" s="9" t="s">
        <v>1054</v>
      </c>
      <c r="E122" s="11" t="s">
        <v>49</v>
      </c>
      <c r="F122" s="9" t="s">
        <v>1055</v>
      </c>
      <c r="G122" s="12" t="s">
        <v>1056</v>
      </c>
      <c r="H122" s="12" t="s">
        <v>1057</v>
      </c>
      <c r="I122" s="12" t="s">
        <v>1058</v>
      </c>
      <c r="J122" s="12" t="s">
        <v>1059</v>
      </c>
      <c r="K122" s="12" t="s">
        <v>55</v>
      </c>
      <c r="L122" s="12" t="s">
        <v>1060</v>
      </c>
    </row>
    <row r="123" spans="1:12" ht="150" customHeight="1" x14ac:dyDescent="0.3">
      <c r="A123" s="12" t="s">
        <v>1061</v>
      </c>
      <c r="B123" s="23" t="s">
        <v>927</v>
      </c>
      <c r="C123" s="12" t="s">
        <v>1053</v>
      </c>
      <c r="D123" s="12" t="s">
        <v>1062</v>
      </c>
      <c r="E123" s="12" t="s">
        <v>59</v>
      </c>
      <c r="F123" s="12" t="s">
        <v>1063</v>
      </c>
      <c r="G123" s="12" t="s">
        <v>1064</v>
      </c>
      <c r="H123" s="12" t="s">
        <v>1065</v>
      </c>
      <c r="I123" s="12" t="s">
        <v>1066</v>
      </c>
      <c r="J123" s="12" t="s">
        <v>1067</v>
      </c>
      <c r="K123" s="12" t="s">
        <v>55</v>
      </c>
      <c r="L123" s="12" t="s">
        <v>1068</v>
      </c>
    </row>
    <row r="124" spans="1:12" ht="150" customHeight="1" x14ac:dyDescent="0.3">
      <c r="A124" s="12" t="s">
        <v>1069</v>
      </c>
      <c r="B124" s="23" t="s">
        <v>927</v>
      </c>
      <c r="C124" s="12" t="s">
        <v>1053</v>
      </c>
      <c r="D124" s="12" t="s">
        <v>1070</v>
      </c>
      <c r="E124" s="12" t="s">
        <v>59</v>
      </c>
      <c r="F124" s="12" t="s">
        <v>1071</v>
      </c>
      <c r="G124" s="12" t="s">
        <v>1072</v>
      </c>
      <c r="H124" s="12" t="s">
        <v>1073</v>
      </c>
      <c r="I124" s="12" t="s">
        <v>1074</v>
      </c>
      <c r="J124" s="12" t="s">
        <v>1075</v>
      </c>
      <c r="K124" s="12" t="s">
        <v>55</v>
      </c>
      <c r="L124" s="12" t="s">
        <v>1076</v>
      </c>
    </row>
    <row r="125" spans="1:12" ht="150" customHeight="1" x14ac:dyDescent="0.3">
      <c r="A125" s="9" t="s">
        <v>1077</v>
      </c>
      <c r="B125" s="22" t="s">
        <v>927</v>
      </c>
      <c r="C125" s="9" t="s">
        <v>1078</v>
      </c>
      <c r="D125" s="9" t="s">
        <v>1079</v>
      </c>
      <c r="E125" s="11" t="s">
        <v>49</v>
      </c>
      <c r="F125" s="9" t="s">
        <v>1080</v>
      </c>
      <c r="G125" s="12" t="s">
        <v>1081</v>
      </c>
      <c r="H125" s="12" t="s">
        <v>1082</v>
      </c>
      <c r="I125" s="12" t="s">
        <v>1083</v>
      </c>
      <c r="J125" s="12" t="s">
        <v>1084</v>
      </c>
      <c r="K125" s="12" t="s">
        <v>55</v>
      </c>
      <c r="L125" s="12" t="s">
        <v>1085</v>
      </c>
    </row>
    <row r="126" spans="1:12" ht="150" customHeight="1" x14ac:dyDescent="0.3">
      <c r="A126" s="12" t="s">
        <v>1086</v>
      </c>
      <c r="B126" s="23" t="s">
        <v>927</v>
      </c>
      <c r="C126" s="12" t="s">
        <v>1078</v>
      </c>
      <c r="D126" s="12" t="s">
        <v>1087</v>
      </c>
      <c r="E126" s="12" t="s">
        <v>59</v>
      </c>
      <c r="F126" s="12" t="s">
        <v>1088</v>
      </c>
      <c r="G126" s="12" t="s">
        <v>1089</v>
      </c>
      <c r="H126" s="12" t="s">
        <v>1090</v>
      </c>
      <c r="I126" s="12" t="s">
        <v>1091</v>
      </c>
      <c r="J126" s="12" t="s">
        <v>1092</v>
      </c>
      <c r="K126" s="12" t="s">
        <v>55</v>
      </c>
      <c r="L126" s="12" t="s">
        <v>1093</v>
      </c>
    </row>
    <row r="127" spans="1:12" ht="150" customHeight="1" x14ac:dyDescent="0.3">
      <c r="A127" s="12" t="s">
        <v>1094</v>
      </c>
      <c r="B127" s="23" t="s">
        <v>927</v>
      </c>
      <c r="C127" s="12" t="s">
        <v>1078</v>
      </c>
      <c r="D127" s="12" t="s">
        <v>1095</v>
      </c>
      <c r="E127" s="12" t="s">
        <v>59</v>
      </c>
      <c r="F127" s="12" t="s">
        <v>1096</v>
      </c>
      <c r="G127" s="12" t="s">
        <v>1097</v>
      </c>
      <c r="H127" s="12" t="s">
        <v>1098</v>
      </c>
      <c r="I127" s="12" t="s">
        <v>1099</v>
      </c>
      <c r="J127" s="12" t="s">
        <v>1100</v>
      </c>
      <c r="K127" s="12" t="s">
        <v>55</v>
      </c>
      <c r="L127" s="12" t="s">
        <v>1101</v>
      </c>
    </row>
  </sheetData>
  <autoFilter ref="A1:L127"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0"/>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6640625" defaultRowHeight="14.4" x14ac:dyDescent="0.3"/>
  <cols>
    <col min="1" max="1" width="9" customWidth="1"/>
    <col min="2" max="2" width="34" customWidth="1"/>
    <col min="3" max="3" width="11" customWidth="1"/>
    <col min="4" max="4" width="14" customWidth="1"/>
    <col min="5" max="14" width="8" customWidth="1"/>
    <col min="15" max="15" width="9" customWidth="1"/>
    <col min="16" max="16" width="13" customWidth="1"/>
    <col min="17" max="17" width="80" customWidth="1"/>
  </cols>
  <sheetData>
    <row r="1" spans="1:17" ht="36" customHeight="1" x14ac:dyDescent="0.3">
      <c r="A1" s="24" t="s">
        <v>37</v>
      </c>
      <c r="B1" s="24" t="s">
        <v>40</v>
      </c>
      <c r="C1" s="24" t="s">
        <v>41</v>
      </c>
      <c r="D1" s="24" t="s">
        <v>38</v>
      </c>
      <c r="E1" s="24" t="s">
        <v>1102</v>
      </c>
      <c r="F1" s="24" t="s">
        <v>1103</v>
      </c>
      <c r="G1" s="24" t="s">
        <v>1104</v>
      </c>
      <c r="H1" s="24" t="s">
        <v>1105</v>
      </c>
      <c r="I1" s="24" t="s">
        <v>1106</v>
      </c>
      <c r="J1" s="24" t="s">
        <v>1107</v>
      </c>
      <c r="K1" s="24" t="s">
        <v>1108</v>
      </c>
      <c r="L1" s="24" t="s">
        <v>1109</v>
      </c>
      <c r="M1" s="24" t="s">
        <v>1110</v>
      </c>
      <c r="N1" s="24" t="s">
        <v>1111</v>
      </c>
      <c r="O1" s="24" t="s">
        <v>1112</v>
      </c>
      <c r="P1" s="24" t="s">
        <v>1113</v>
      </c>
      <c r="Q1" s="24" t="s">
        <v>1114</v>
      </c>
    </row>
    <row r="2" spans="1:17" ht="33.75" customHeight="1" x14ac:dyDescent="0.3">
      <c r="A2" s="9" t="s">
        <v>45</v>
      </c>
      <c r="B2" s="12" t="s">
        <v>48</v>
      </c>
      <c r="C2" s="12" t="s">
        <v>49</v>
      </c>
      <c r="D2" s="13" t="s">
        <v>46</v>
      </c>
      <c r="E2" s="25">
        <v>2</v>
      </c>
      <c r="F2" s="26">
        <v>1</v>
      </c>
      <c r="G2" s="25">
        <v>2</v>
      </c>
      <c r="H2" s="25">
        <v>2</v>
      </c>
      <c r="I2" s="25">
        <v>2</v>
      </c>
      <c r="J2" s="25">
        <v>2</v>
      </c>
      <c r="K2" s="25">
        <v>2</v>
      </c>
      <c r="L2" s="25">
        <v>2</v>
      </c>
      <c r="M2" s="25">
        <v>2</v>
      </c>
      <c r="N2" s="25">
        <v>2</v>
      </c>
      <c r="O2" s="9">
        <f t="shared" ref="O2:O33" si="0">SUM(E2:N2)</f>
        <v>19</v>
      </c>
      <c r="P2" s="9" t="str">
        <f t="shared" ref="P2:P33" si="1">IF(O2&gt;=17,"Library-ready",IF(O2&gt;=12,"Refine first","Rework"))</f>
        <v>Library-ready</v>
      </c>
      <c r="Q2" s="12" t="s">
        <v>1115</v>
      </c>
    </row>
    <row r="3" spans="1:17" ht="33.75" customHeight="1" x14ac:dyDescent="0.3">
      <c r="A3" s="9" t="s">
        <v>57</v>
      </c>
      <c r="B3" s="12" t="s">
        <v>58</v>
      </c>
      <c r="C3" s="12" t="s">
        <v>59</v>
      </c>
      <c r="D3" s="13" t="s">
        <v>46</v>
      </c>
      <c r="E3" s="25">
        <v>2</v>
      </c>
      <c r="F3" s="25">
        <v>2</v>
      </c>
      <c r="G3" s="25">
        <v>2</v>
      </c>
      <c r="H3" s="25">
        <v>2</v>
      </c>
      <c r="I3" s="25">
        <v>2</v>
      </c>
      <c r="J3" s="25">
        <v>2</v>
      </c>
      <c r="K3" s="25">
        <v>2</v>
      </c>
      <c r="L3" s="25">
        <v>2</v>
      </c>
      <c r="M3" s="25">
        <v>2</v>
      </c>
      <c r="N3" s="25">
        <v>2</v>
      </c>
      <c r="O3" s="9">
        <f t="shared" si="0"/>
        <v>20</v>
      </c>
      <c r="P3" s="9" t="str">
        <f t="shared" si="1"/>
        <v>Library-ready</v>
      </c>
      <c r="Q3" s="12" t="s">
        <v>1116</v>
      </c>
    </row>
    <row r="4" spans="1:17" ht="33.75" customHeight="1" x14ac:dyDescent="0.3">
      <c r="A4" s="9" t="s">
        <v>66</v>
      </c>
      <c r="B4" s="12" t="s">
        <v>67</v>
      </c>
      <c r="C4" s="12" t="s">
        <v>59</v>
      </c>
      <c r="D4" s="13" t="s">
        <v>46</v>
      </c>
      <c r="E4" s="25">
        <v>2</v>
      </c>
      <c r="F4" s="25">
        <v>2</v>
      </c>
      <c r="G4" s="25">
        <v>2</v>
      </c>
      <c r="H4" s="25">
        <v>2</v>
      </c>
      <c r="I4" s="25">
        <v>2</v>
      </c>
      <c r="J4" s="25">
        <v>2</v>
      </c>
      <c r="K4" s="25">
        <v>2</v>
      </c>
      <c r="L4" s="25">
        <v>2</v>
      </c>
      <c r="M4" s="25">
        <v>2</v>
      </c>
      <c r="N4" s="25">
        <v>2</v>
      </c>
      <c r="O4" s="9">
        <f t="shared" si="0"/>
        <v>20</v>
      </c>
      <c r="P4" s="9" t="str">
        <f t="shared" si="1"/>
        <v>Library-ready</v>
      </c>
      <c r="Q4" s="12" t="s">
        <v>1116</v>
      </c>
    </row>
    <row r="5" spans="1:17" ht="33.75" customHeight="1" x14ac:dyDescent="0.3">
      <c r="A5" s="9" t="s">
        <v>74</v>
      </c>
      <c r="B5" s="12" t="s">
        <v>76</v>
      </c>
      <c r="C5" s="12" t="s">
        <v>49</v>
      </c>
      <c r="D5" s="13" t="s">
        <v>46</v>
      </c>
      <c r="E5" s="25">
        <v>2</v>
      </c>
      <c r="F5" s="26">
        <v>1</v>
      </c>
      <c r="G5" s="25">
        <v>2</v>
      </c>
      <c r="H5" s="25">
        <v>2</v>
      </c>
      <c r="I5" s="25">
        <v>2</v>
      </c>
      <c r="J5" s="25">
        <v>2</v>
      </c>
      <c r="K5" s="25">
        <v>2</v>
      </c>
      <c r="L5" s="25">
        <v>2</v>
      </c>
      <c r="M5" s="25">
        <v>2</v>
      </c>
      <c r="N5" s="25">
        <v>2</v>
      </c>
      <c r="O5" s="9">
        <f t="shared" si="0"/>
        <v>19</v>
      </c>
      <c r="P5" s="9" t="str">
        <f t="shared" si="1"/>
        <v>Library-ready</v>
      </c>
      <c r="Q5" s="12" t="s">
        <v>1115</v>
      </c>
    </row>
    <row r="6" spans="1:17" ht="33.75" customHeight="1" x14ac:dyDescent="0.3">
      <c r="A6" s="9" t="s">
        <v>83</v>
      </c>
      <c r="B6" s="12" t="s">
        <v>84</v>
      </c>
      <c r="C6" s="12" t="s">
        <v>59</v>
      </c>
      <c r="D6" s="13" t="s">
        <v>46</v>
      </c>
      <c r="E6" s="25">
        <v>2</v>
      </c>
      <c r="F6" s="25">
        <v>2</v>
      </c>
      <c r="G6" s="25">
        <v>2</v>
      </c>
      <c r="H6" s="25">
        <v>2</v>
      </c>
      <c r="I6" s="25">
        <v>2</v>
      </c>
      <c r="J6" s="25">
        <v>2</v>
      </c>
      <c r="K6" s="25">
        <v>2</v>
      </c>
      <c r="L6" s="25">
        <v>2</v>
      </c>
      <c r="M6" s="25">
        <v>2</v>
      </c>
      <c r="N6" s="25">
        <v>2</v>
      </c>
      <c r="O6" s="9">
        <f t="shared" si="0"/>
        <v>20</v>
      </c>
      <c r="P6" s="9" t="str">
        <f t="shared" si="1"/>
        <v>Library-ready</v>
      </c>
      <c r="Q6" s="12" t="s">
        <v>1116</v>
      </c>
    </row>
    <row r="7" spans="1:17" ht="33.75" customHeight="1" x14ac:dyDescent="0.3">
      <c r="A7" s="9" t="s">
        <v>91</v>
      </c>
      <c r="B7" s="12" t="s">
        <v>92</v>
      </c>
      <c r="C7" s="12" t="s">
        <v>59</v>
      </c>
      <c r="D7" s="13" t="s">
        <v>46</v>
      </c>
      <c r="E7" s="25">
        <v>2</v>
      </c>
      <c r="F7" s="25">
        <v>2</v>
      </c>
      <c r="G7" s="25">
        <v>2</v>
      </c>
      <c r="H7" s="25">
        <v>2</v>
      </c>
      <c r="I7" s="25">
        <v>2</v>
      </c>
      <c r="J7" s="25">
        <v>2</v>
      </c>
      <c r="K7" s="25">
        <v>2</v>
      </c>
      <c r="L7" s="25">
        <v>2</v>
      </c>
      <c r="M7" s="25">
        <v>2</v>
      </c>
      <c r="N7" s="25">
        <v>2</v>
      </c>
      <c r="O7" s="9">
        <f t="shared" si="0"/>
        <v>20</v>
      </c>
      <c r="P7" s="9" t="str">
        <f t="shared" si="1"/>
        <v>Library-ready</v>
      </c>
      <c r="Q7" s="12" t="s">
        <v>1116</v>
      </c>
    </row>
    <row r="8" spans="1:17" ht="33.75" customHeight="1" x14ac:dyDescent="0.3">
      <c r="A8" s="9" t="s">
        <v>99</v>
      </c>
      <c r="B8" s="12" t="s">
        <v>101</v>
      </c>
      <c r="C8" s="12" t="s">
        <v>49</v>
      </c>
      <c r="D8" s="13" t="s">
        <v>46</v>
      </c>
      <c r="E8" s="25">
        <v>2</v>
      </c>
      <c r="F8" s="26">
        <v>1</v>
      </c>
      <c r="G8" s="25">
        <v>2</v>
      </c>
      <c r="H8" s="25">
        <v>2</v>
      </c>
      <c r="I8" s="25">
        <v>2</v>
      </c>
      <c r="J8" s="25">
        <v>2</v>
      </c>
      <c r="K8" s="25">
        <v>2</v>
      </c>
      <c r="L8" s="25">
        <v>2</v>
      </c>
      <c r="M8" s="25">
        <v>2</v>
      </c>
      <c r="N8" s="25">
        <v>2</v>
      </c>
      <c r="O8" s="9">
        <f t="shared" si="0"/>
        <v>19</v>
      </c>
      <c r="P8" s="9" t="str">
        <f t="shared" si="1"/>
        <v>Library-ready</v>
      </c>
      <c r="Q8" s="12" t="s">
        <v>1115</v>
      </c>
    </row>
    <row r="9" spans="1:17" ht="33.75" customHeight="1" x14ac:dyDescent="0.3">
      <c r="A9" s="9" t="s">
        <v>108</v>
      </c>
      <c r="B9" s="12" t="s">
        <v>109</v>
      </c>
      <c r="C9" s="12" t="s">
        <v>59</v>
      </c>
      <c r="D9" s="13" t="s">
        <v>46</v>
      </c>
      <c r="E9" s="25">
        <v>2</v>
      </c>
      <c r="F9" s="25">
        <v>2</v>
      </c>
      <c r="G9" s="25">
        <v>2</v>
      </c>
      <c r="H9" s="25">
        <v>2</v>
      </c>
      <c r="I9" s="25">
        <v>2</v>
      </c>
      <c r="J9" s="25">
        <v>2</v>
      </c>
      <c r="K9" s="25">
        <v>2</v>
      </c>
      <c r="L9" s="25">
        <v>2</v>
      </c>
      <c r="M9" s="25">
        <v>2</v>
      </c>
      <c r="N9" s="25">
        <v>2</v>
      </c>
      <c r="O9" s="9">
        <f t="shared" si="0"/>
        <v>20</v>
      </c>
      <c r="P9" s="9" t="str">
        <f t="shared" si="1"/>
        <v>Library-ready</v>
      </c>
      <c r="Q9" s="12" t="s">
        <v>1116</v>
      </c>
    </row>
    <row r="10" spans="1:17" ht="33.75" customHeight="1" x14ac:dyDescent="0.3">
      <c r="A10" s="9" t="s">
        <v>116</v>
      </c>
      <c r="B10" s="12" t="s">
        <v>117</v>
      </c>
      <c r="C10" s="12" t="s">
        <v>59</v>
      </c>
      <c r="D10" s="13" t="s">
        <v>46</v>
      </c>
      <c r="E10" s="25">
        <v>2</v>
      </c>
      <c r="F10" s="25">
        <v>2</v>
      </c>
      <c r="G10" s="25">
        <v>2</v>
      </c>
      <c r="H10" s="25">
        <v>2</v>
      </c>
      <c r="I10" s="25">
        <v>2</v>
      </c>
      <c r="J10" s="25">
        <v>2</v>
      </c>
      <c r="K10" s="25">
        <v>2</v>
      </c>
      <c r="L10" s="25">
        <v>2</v>
      </c>
      <c r="M10" s="25">
        <v>2</v>
      </c>
      <c r="N10" s="25">
        <v>2</v>
      </c>
      <c r="O10" s="9">
        <f t="shared" si="0"/>
        <v>20</v>
      </c>
      <c r="P10" s="9" t="str">
        <f t="shared" si="1"/>
        <v>Library-ready</v>
      </c>
      <c r="Q10" s="12" t="s">
        <v>1116</v>
      </c>
    </row>
    <row r="11" spans="1:17" ht="33.75" customHeight="1" x14ac:dyDescent="0.3">
      <c r="A11" s="9" t="s">
        <v>124</v>
      </c>
      <c r="B11" s="12" t="s">
        <v>126</v>
      </c>
      <c r="C11" s="12" t="s">
        <v>49</v>
      </c>
      <c r="D11" s="13" t="s">
        <v>46</v>
      </c>
      <c r="E11" s="25">
        <v>2</v>
      </c>
      <c r="F11" s="26">
        <v>1</v>
      </c>
      <c r="G11" s="25">
        <v>2</v>
      </c>
      <c r="H11" s="25">
        <v>2</v>
      </c>
      <c r="I11" s="25">
        <v>2</v>
      </c>
      <c r="J11" s="25">
        <v>2</v>
      </c>
      <c r="K11" s="25">
        <v>2</v>
      </c>
      <c r="L11" s="25">
        <v>2</v>
      </c>
      <c r="M11" s="25">
        <v>2</v>
      </c>
      <c r="N11" s="25">
        <v>2</v>
      </c>
      <c r="O11" s="9">
        <f t="shared" si="0"/>
        <v>19</v>
      </c>
      <c r="P11" s="9" t="str">
        <f t="shared" si="1"/>
        <v>Library-ready</v>
      </c>
      <c r="Q11" s="12" t="s">
        <v>1115</v>
      </c>
    </row>
    <row r="12" spans="1:17" ht="33.75" customHeight="1" x14ac:dyDescent="0.3">
      <c r="A12" s="9" t="s">
        <v>133</v>
      </c>
      <c r="B12" s="12" t="s">
        <v>134</v>
      </c>
      <c r="C12" s="12" t="s">
        <v>59</v>
      </c>
      <c r="D12" s="13" t="s">
        <v>46</v>
      </c>
      <c r="E12" s="25">
        <v>2</v>
      </c>
      <c r="F12" s="25">
        <v>2</v>
      </c>
      <c r="G12" s="25">
        <v>2</v>
      </c>
      <c r="H12" s="25">
        <v>2</v>
      </c>
      <c r="I12" s="25">
        <v>2</v>
      </c>
      <c r="J12" s="25">
        <v>2</v>
      </c>
      <c r="K12" s="25">
        <v>2</v>
      </c>
      <c r="L12" s="25">
        <v>2</v>
      </c>
      <c r="M12" s="25">
        <v>2</v>
      </c>
      <c r="N12" s="25">
        <v>2</v>
      </c>
      <c r="O12" s="9">
        <f t="shared" si="0"/>
        <v>20</v>
      </c>
      <c r="P12" s="9" t="str">
        <f t="shared" si="1"/>
        <v>Library-ready</v>
      </c>
      <c r="Q12" s="12" t="s">
        <v>1116</v>
      </c>
    </row>
    <row r="13" spans="1:17" ht="33.75" customHeight="1" x14ac:dyDescent="0.3">
      <c r="A13" s="9" t="s">
        <v>141</v>
      </c>
      <c r="B13" s="12" t="s">
        <v>142</v>
      </c>
      <c r="C13" s="12" t="s">
        <v>59</v>
      </c>
      <c r="D13" s="13" t="s">
        <v>46</v>
      </c>
      <c r="E13" s="25">
        <v>2</v>
      </c>
      <c r="F13" s="25">
        <v>2</v>
      </c>
      <c r="G13" s="25">
        <v>2</v>
      </c>
      <c r="H13" s="25">
        <v>2</v>
      </c>
      <c r="I13" s="25">
        <v>2</v>
      </c>
      <c r="J13" s="25">
        <v>2</v>
      </c>
      <c r="K13" s="25">
        <v>2</v>
      </c>
      <c r="L13" s="25">
        <v>2</v>
      </c>
      <c r="M13" s="25">
        <v>2</v>
      </c>
      <c r="N13" s="25">
        <v>2</v>
      </c>
      <c r="O13" s="9">
        <f t="shared" si="0"/>
        <v>20</v>
      </c>
      <c r="P13" s="9" t="str">
        <f t="shared" si="1"/>
        <v>Library-ready</v>
      </c>
      <c r="Q13" s="12" t="s">
        <v>1116</v>
      </c>
    </row>
    <row r="14" spans="1:17" ht="33.75" customHeight="1" x14ac:dyDescent="0.3">
      <c r="A14" s="9" t="s">
        <v>149</v>
      </c>
      <c r="B14" s="12" t="s">
        <v>151</v>
      </c>
      <c r="C14" s="12" t="s">
        <v>49</v>
      </c>
      <c r="D14" s="13" t="s">
        <v>46</v>
      </c>
      <c r="E14" s="25">
        <v>2</v>
      </c>
      <c r="F14" s="26">
        <v>1</v>
      </c>
      <c r="G14" s="25">
        <v>2</v>
      </c>
      <c r="H14" s="25">
        <v>2</v>
      </c>
      <c r="I14" s="25">
        <v>2</v>
      </c>
      <c r="J14" s="25">
        <v>2</v>
      </c>
      <c r="K14" s="25">
        <v>2</v>
      </c>
      <c r="L14" s="25">
        <v>2</v>
      </c>
      <c r="M14" s="25">
        <v>2</v>
      </c>
      <c r="N14" s="25">
        <v>2</v>
      </c>
      <c r="O14" s="9">
        <f t="shared" si="0"/>
        <v>19</v>
      </c>
      <c r="P14" s="9" t="str">
        <f t="shared" si="1"/>
        <v>Library-ready</v>
      </c>
      <c r="Q14" s="12" t="s">
        <v>1115</v>
      </c>
    </row>
    <row r="15" spans="1:17" ht="33.75" customHeight="1" x14ac:dyDescent="0.3">
      <c r="A15" s="9" t="s">
        <v>158</v>
      </c>
      <c r="B15" s="12" t="s">
        <v>159</v>
      </c>
      <c r="C15" s="12" t="s">
        <v>59</v>
      </c>
      <c r="D15" s="13" t="s">
        <v>46</v>
      </c>
      <c r="E15" s="25">
        <v>2</v>
      </c>
      <c r="F15" s="25">
        <v>2</v>
      </c>
      <c r="G15" s="25">
        <v>2</v>
      </c>
      <c r="H15" s="25">
        <v>2</v>
      </c>
      <c r="I15" s="25">
        <v>2</v>
      </c>
      <c r="J15" s="25">
        <v>2</v>
      </c>
      <c r="K15" s="25">
        <v>2</v>
      </c>
      <c r="L15" s="25">
        <v>2</v>
      </c>
      <c r="M15" s="25">
        <v>2</v>
      </c>
      <c r="N15" s="25">
        <v>2</v>
      </c>
      <c r="O15" s="9">
        <f t="shared" si="0"/>
        <v>20</v>
      </c>
      <c r="P15" s="9" t="str">
        <f t="shared" si="1"/>
        <v>Library-ready</v>
      </c>
      <c r="Q15" s="12" t="s">
        <v>1116</v>
      </c>
    </row>
    <row r="16" spans="1:17" ht="33.75" customHeight="1" x14ac:dyDescent="0.3">
      <c r="A16" s="9" t="s">
        <v>166</v>
      </c>
      <c r="B16" s="12" t="s">
        <v>167</v>
      </c>
      <c r="C16" s="12" t="s">
        <v>59</v>
      </c>
      <c r="D16" s="13" t="s">
        <v>46</v>
      </c>
      <c r="E16" s="25">
        <v>2</v>
      </c>
      <c r="F16" s="25">
        <v>2</v>
      </c>
      <c r="G16" s="25">
        <v>2</v>
      </c>
      <c r="H16" s="25">
        <v>2</v>
      </c>
      <c r="I16" s="25">
        <v>2</v>
      </c>
      <c r="J16" s="25">
        <v>2</v>
      </c>
      <c r="K16" s="25">
        <v>2</v>
      </c>
      <c r="L16" s="25">
        <v>2</v>
      </c>
      <c r="M16" s="25">
        <v>2</v>
      </c>
      <c r="N16" s="25">
        <v>2</v>
      </c>
      <c r="O16" s="9">
        <f t="shared" si="0"/>
        <v>20</v>
      </c>
      <c r="P16" s="9" t="str">
        <f t="shared" si="1"/>
        <v>Library-ready</v>
      </c>
      <c r="Q16" s="12" t="s">
        <v>1116</v>
      </c>
    </row>
    <row r="17" spans="1:17" ht="33.75" customHeight="1" x14ac:dyDescent="0.3">
      <c r="A17" s="9" t="s">
        <v>174</v>
      </c>
      <c r="B17" s="12" t="s">
        <v>176</v>
      </c>
      <c r="C17" s="12" t="s">
        <v>49</v>
      </c>
      <c r="D17" s="13" t="s">
        <v>46</v>
      </c>
      <c r="E17" s="25">
        <v>2</v>
      </c>
      <c r="F17" s="26">
        <v>1</v>
      </c>
      <c r="G17" s="25">
        <v>2</v>
      </c>
      <c r="H17" s="25">
        <v>2</v>
      </c>
      <c r="I17" s="25">
        <v>2</v>
      </c>
      <c r="J17" s="25">
        <v>2</v>
      </c>
      <c r="K17" s="25">
        <v>2</v>
      </c>
      <c r="L17" s="25">
        <v>2</v>
      </c>
      <c r="M17" s="25">
        <v>2</v>
      </c>
      <c r="N17" s="25">
        <v>2</v>
      </c>
      <c r="O17" s="9">
        <f t="shared" si="0"/>
        <v>19</v>
      </c>
      <c r="P17" s="9" t="str">
        <f t="shared" si="1"/>
        <v>Library-ready</v>
      </c>
      <c r="Q17" s="12" t="s">
        <v>1115</v>
      </c>
    </row>
    <row r="18" spans="1:17" ht="33.75" customHeight="1" x14ac:dyDescent="0.3">
      <c r="A18" s="9" t="s">
        <v>183</v>
      </c>
      <c r="B18" s="12" t="s">
        <v>184</v>
      </c>
      <c r="C18" s="12" t="s">
        <v>59</v>
      </c>
      <c r="D18" s="13" t="s">
        <v>46</v>
      </c>
      <c r="E18" s="25">
        <v>2</v>
      </c>
      <c r="F18" s="25">
        <v>2</v>
      </c>
      <c r="G18" s="25">
        <v>2</v>
      </c>
      <c r="H18" s="25">
        <v>2</v>
      </c>
      <c r="I18" s="25">
        <v>2</v>
      </c>
      <c r="J18" s="25">
        <v>2</v>
      </c>
      <c r="K18" s="25">
        <v>2</v>
      </c>
      <c r="L18" s="25">
        <v>2</v>
      </c>
      <c r="M18" s="25">
        <v>2</v>
      </c>
      <c r="N18" s="25">
        <v>2</v>
      </c>
      <c r="O18" s="9">
        <f t="shared" si="0"/>
        <v>20</v>
      </c>
      <c r="P18" s="9" t="str">
        <f t="shared" si="1"/>
        <v>Library-ready</v>
      </c>
      <c r="Q18" s="12" t="s">
        <v>1116</v>
      </c>
    </row>
    <row r="19" spans="1:17" ht="33.75" customHeight="1" x14ac:dyDescent="0.3">
      <c r="A19" s="9" t="s">
        <v>191</v>
      </c>
      <c r="B19" s="12" t="s">
        <v>192</v>
      </c>
      <c r="C19" s="12" t="s">
        <v>59</v>
      </c>
      <c r="D19" s="13" t="s">
        <v>46</v>
      </c>
      <c r="E19" s="25">
        <v>2</v>
      </c>
      <c r="F19" s="25">
        <v>2</v>
      </c>
      <c r="G19" s="25">
        <v>2</v>
      </c>
      <c r="H19" s="25">
        <v>2</v>
      </c>
      <c r="I19" s="25">
        <v>2</v>
      </c>
      <c r="J19" s="25">
        <v>2</v>
      </c>
      <c r="K19" s="25">
        <v>2</v>
      </c>
      <c r="L19" s="25">
        <v>2</v>
      </c>
      <c r="M19" s="25">
        <v>2</v>
      </c>
      <c r="N19" s="25">
        <v>2</v>
      </c>
      <c r="O19" s="9">
        <f t="shared" si="0"/>
        <v>20</v>
      </c>
      <c r="P19" s="9" t="str">
        <f t="shared" si="1"/>
        <v>Library-ready</v>
      </c>
      <c r="Q19" s="12" t="s">
        <v>1116</v>
      </c>
    </row>
    <row r="20" spans="1:17" ht="33.75" customHeight="1" x14ac:dyDescent="0.3">
      <c r="A20" s="9" t="s">
        <v>199</v>
      </c>
      <c r="B20" s="12" t="s">
        <v>201</v>
      </c>
      <c r="C20" s="12" t="s">
        <v>49</v>
      </c>
      <c r="D20" s="13" t="s">
        <v>46</v>
      </c>
      <c r="E20" s="25">
        <v>2</v>
      </c>
      <c r="F20" s="26">
        <v>1</v>
      </c>
      <c r="G20" s="25">
        <v>2</v>
      </c>
      <c r="H20" s="25">
        <v>2</v>
      </c>
      <c r="I20" s="25">
        <v>2</v>
      </c>
      <c r="J20" s="25">
        <v>2</v>
      </c>
      <c r="K20" s="25">
        <v>2</v>
      </c>
      <c r="L20" s="25">
        <v>2</v>
      </c>
      <c r="M20" s="25">
        <v>2</v>
      </c>
      <c r="N20" s="25">
        <v>2</v>
      </c>
      <c r="O20" s="9">
        <f t="shared" si="0"/>
        <v>19</v>
      </c>
      <c r="P20" s="9" t="str">
        <f t="shared" si="1"/>
        <v>Library-ready</v>
      </c>
      <c r="Q20" s="12" t="s">
        <v>1115</v>
      </c>
    </row>
    <row r="21" spans="1:17" ht="33.75" customHeight="1" x14ac:dyDescent="0.3">
      <c r="A21" s="9" t="s">
        <v>208</v>
      </c>
      <c r="B21" s="12" t="s">
        <v>209</v>
      </c>
      <c r="C21" s="12" t="s">
        <v>59</v>
      </c>
      <c r="D21" s="13" t="s">
        <v>46</v>
      </c>
      <c r="E21" s="25">
        <v>2</v>
      </c>
      <c r="F21" s="25">
        <v>2</v>
      </c>
      <c r="G21" s="25">
        <v>2</v>
      </c>
      <c r="H21" s="25">
        <v>2</v>
      </c>
      <c r="I21" s="25">
        <v>2</v>
      </c>
      <c r="J21" s="25">
        <v>2</v>
      </c>
      <c r="K21" s="25">
        <v>2</v>
      </c>
      <c r="L21" s="25">
        <v>2</v>
      </c>
      <c r="M21" s="25">
        <v>2</v>
      </c>
      <c r="N21" s="25">
        <v>2</v>
      </c>
      <c r="O21" s="9">
        <f t="shared" si="0"/>
        <v>20</v>
      </c>
      <c r="P21" s="9" t="str">
        <f t="shared" si="1"/>
        <v>Library-ready</v>
      </c>
      <c r="Q21" s="12" t="s">
        <v>1116</v>
      </c>
    </row>
    <row r="22" spans="1:17" ht="33.75" customHeight="1" x14ac:dyDescent="0.3">
      <c r="A22" s="9" t="s">
        <v>216</v>
      </c>
      <c r="B22" s="12" t="s">
        <v>217</v>
      </c>
      <c r="C22" s="12" t="s">
        <v>59</v>
      </c>
      <c r="D22" s="13" t="s">
        <v>46</v>
      </c>
      <c r="E22" s="25">
        <v>2</v>
      </c>
      <c r="F22" s="25">
        <v>2</v>
      </c>
      <c r="G22" s="25">
        <v>2</v>
      </c>
      <c r="H22" s="25">
        <v>2</v>
      </c>
      <c r="I22" s="25">
        <v>2</v>
      </c>
      <c r="J22" s="25">
        <v>2</v>
      </c>
      <c r="K22" s="25">
        <v>2</v>
      </c>
      <c r="L22" s="25">
        <v>2</v>
      </c>
      <c r="M22" s="25">
        <v>2</v>
      </c>
      <c r="N22" s="25">
        <v>2</v>
      </c>
      <c r="O22" s="9">
        <f t="shared" si="0"/>
        <v>20</v>
      </c>
      <c r="P22" s="9" t="str">
        <f t="shared" si="1"/>
        <v>Library-ready</v>
      </c>
      <c r="Q22" s="12" t="s">
        <v>1116</v>
      </c>
    </row>
    <row r="23" spans="1:17" ht="33.75" customHeight="1" x14ac:dyDescent="0.3">
      <c r="A23" s="9" t="s">
        <v>224</v>
      </c>
      <c r="B23" s="12" t="s">
        <v>226</v>
      </c>
      <c r="C23" s="12" t="s">
        <v>49</v>
      </c>
      <c r="D23" s="13" t="s">
        <v>46</v>
      </c>
      <c r="E23" s="25">
        <v>2</v>
      </c>
      <c r="F23" s="26">
        <v>1</v>
      </c>
      <c r="G23" s="25">
        <v>2</v>
      </c>
      <c r="H23" s="25">
        <v>2</v>
      </c>
      <c r="I23" s="25">
        <v>2</v>
      </c>
      <c r="J23" s="25">
        <v>2</v>
      </c>
      <c r="K23" s="25">
        <v>2</v>
      </c>
      <c r="L23" s="25">
        <v>2</v>
      </c>
      <c r="M23" s="25">
        <v>2</v>
      </c>
      <c r="N23" s="25">
        <v>2</v>
      </c>
      <c r="O23" s="9">
        <f t="shared" si="0"/>
        <v>19</v>
      </c>
      <c r="P23" s="9" t="str">
        <f t="shared" si="1"/>
        <v>Library-ready</v>
      </c>
      <c r="Q23" s="12" t="s">
        <v>1115</v>
      </c>
    </row>
    <row r="24" spans="1:17" ht="33.75" customHeight="1" x14ac:dyDescent="0.3">
      <c r="A24" s="9" t="s">
        <v>233</v>
      </c>
      <c r="B24" s="12" t="s">
        <v>234</v>
      </c>
      <c r="C24" s="12" t="s">
        <v>59</v>
      </c>
      <c r="D24" s="13" t="s">
        <v>46</v>
      </c>
      <c r="E24" s="25">
        <v>2</v>
      </c>
      <c r="F24" s="25">
        <v>2</v>
      </c>
      <c r="G24" s="25">
        <v>2</v>
      </c>
      <c r="H24" s="25">
        <v>2</v>
      </c>
      <c r="I24" s="25">
        <v>2</v>
      </c>
      <c r="J24" s="25">
        <v>2</v>
      </c>
      <c r="K24" s="25">
        <v>2</v>
      </c>
      <c r="L24" s="25">
        <v>2</v>
      </c>
      <c r="M24" s="25">
        <v>2</v>
      </c>
      <c r="N24" s="25">
        <v>2</v>
      </c>
      <c r="O24" s="9">
        <f t="shared" si="0"/>
        <v>20</v>
      </c>
      <c r="P24" s="9" t="str">
        <f t="shared" si="1"/>
        <v>Library-ready</v>
      </c>
      <c r="Q24" s="12" t="s">
        <v>1116</v>
      </c>
    </row>
    <row r="25" spans="1:17" ht="33.75" customHeight="1" x14ac:dyDescent="0.3">
      <c r="A25" s="9" t="s">
        <v>241</v>
      </c>
      <c r="B25" s="12" t="s">
        <v>242</v>
      </c>
      <c r="C25" s="12" t="s">
        <v>59</v>
      </c>
      <c r="D25" s="13" t="s">
        <v>46</v>
      </c>
      <c r="E25" s="25">
        <v>2</v>
      </c>
      <c r="F25" s="25">
        <v>2</v>
      </c>
      <c r="G25" s="25">
        <v>2</v>
      </c>
      <c r="H25" s="25">
        <v>2</v>
      </c>
      <c r="I25" s="25">
        <v>2</v>
      </c>
      <c r="J25" s="25">
        <v>2</v>
      </c>
      <c r="K25" s="25">
        <v>2</v>
      </c>
      <c r="L25" s="25">
        <v>2</v>
      </c>
      <c r="M25" s="25">
        <v>2</v>
      </c>
      <c r="N25" s="25">
        <v>2</v>
      </c>
      <c r="O25" s="9">
        <f t="shared" si="0"/>
        <v>20</v>
      </c>
      <c r="P25" s="9" t="str">
        <f t="shared" si="1"/>
        <v>Library-ready</v>
      </c>
      <c r="Q25" s="12" t="s">
        <v>1116</v>
      </c>
    </row>
    <row r="26" spans="1:17" ht="33.75" customHeight="1" x14ac:dyDescent="0.3">
      <c r="A26" s="9" t="s">
        <v>249</v>
      </c>
      <c r="B26" s="12" t="s">
        <v>252</v>
      </c>
      <c r="C26" s="12" t="s">
        <v>49</v>
      </c>
      <c r="D26" s="15" t="s">
        <v>250</v>
      </c>
      <c r="E26" s="25">
        <v>2</v>
      </c>
      <c r="F26" s="26">
        <v>1</v>
      </c>
      <c r="G26" s="25">
        <v>2</v>
      </c>
      <c r="H26" s="25">
        <v>2</v>
      </c>
      <c r="I26" s="25">
        <v>2</v>
      </c>
      <c r="J26" s="25">
        <v>2</v>
      </c>
      <c r="K26" s="25">
        <v>2</v>
      </c>
      <c r="L26" s="25">
        <v>2</v>
      </c>
      <c r="M26" s="25">
        <v>2</v>
      </c>
      <c r="N26" s="25">
        <v>2</v>
      </c>
      <c r="O26" s="9">
        <f t="shared" si="0"/>
        <v>19</v>
      </c>
      <c r="P26" s="9" t="str">
        <f t="shared" si="1"/>
        <v>Library-ready</v>
      </c>
      <c r="Q26" s="12" t="s">
        <v>1115</v>
      </c>
    </row>
    <row r="27" spans="1:17" ht="33.75" customHeight="1" x14ac:dyDescent="0.3">
      <c r="A27" s="9" t="s">
        <v>259</v>
      </c>
      <c r="B27" s="12" t="s">
        <v>260</v>
      </c>
      <c r="C27" s="12" t="s">
        <v>59</v>
      </c>
      <c r="D27" s="15" t="s">
        <v>250</v>
      </c>
      <c r="E27" s="25">
        <v>2</v>
      </c>
      <c r="F27" s="25">
        <v>2</v>
      </c>
      <c r="G27" s="25">
        <v>2</v>
      </c>
      <c r="H27" s="25">
        <v>2</v>
      </c>
      <c r="I27" s="25">
        <v>2</v>
      </c>
      <c r="J27" s="25">
        <v>2</v>
      </c>
      <c r="K27" s="25">
        <v>2</v>
      </c>
      <c r="L27" s="25">
        <v>2</v>
      </c>
      <c r="M27" s="25">
        <v>2</v>
      </c>
      <c r="N27" s="25">
        <v>2</v>
      </c>
      <c r="O27" s="9">
        <f t="shared" si="0"/>
        <v>20</v>
      </c>
      <c r="P27" s="9" t="str">
        <f t="shared" si="1"/>
        <v>Library-ready</v>
      </c>
      <c r="Q27" s="12" t="s">
        <v>1116</v>
      </c>
    </row>
    <row r="28" spans="1:17" ht="33.75" customHeight="1" x14ac:dyDescent="0.3">
      <c r="A28" s="9" t="s">
        <v>267</v>
      </c>
      <c r="B28" s="12" t="s">
        <v>268</v>
      </c>
      <c r="C28" s="12" t="s">
        <v>59</v>
      </c>
      <c r="D28" s="15" t="s">
        <v>250</v>
      </c>
      <c r="E28" s="25">
        <v>2</v>
      </c>
      <c r="F28" s="25">
        <v>2</v>
      </c>
      <c r="G28" s="25">
        <v>2</v>
      </c>
      <c r="H28" s="25">
        <v>2</v>
      </c>
      <c r="I28" s="25">
        <v>2</v>
      </c>
      <c r="J28" s="25">
        <v>2</v>
      </c>
      <c r="K28" s="25">
        <v>2</v>
      </c>
      <c r="L28" s="25">
        <v>2</v>
      </c>
      <c r="M28" s="25">
        <v>2</v>
      </c>
      <c r="N28" s="25">
        <v>2</v>
      </c>
      <c r="O28" s="9">
        <f t="shared" si="0"/>
        <v>20</v>
      </c>
      <c r="P28" s="9" t="str">
        <f t="shared" si="1"/>
        <v>Library-ready</v>
      </c>
      <c r="Q28" s="12" t="s">
        <v>1116</v>
      </c>
    </row>
    <row r="29" spans="1:17" ht="33.75" customHeight="1" x14ac:dyDescent="0.3">
      <c r="A29" s="9" t="s">
        <v>275</v>
      </c>
      <c r="B29" s="12" t="s">
        <v>277</v>
      </c>
      <c r="C29" s="12" t="s">
        <v>49</v>
      </c>
      <c r="D29" s="15" t="s">
        <v>250</v>
      </c>
      <c r="E29" s="25">
        <v>2</v>
      </c>
      <c r="F29" s="26">
        <v>1</v>
      </c>
      <c r="G29" s="25">
        <v>2</v>
      </c>
      <c r="H29" s="25">
        <v>2</v>
      </c>
      <c r="I29" s="25">
        <v>2</v>
      </c>
      <c r="J29" s="25">
        <v>2</v>
      </c>
      <c r="K29" s="25">
        <v>2</v>
      </c>
      <c r="L29" s="25">
        <v>2</v>
      </c>
      <c r="M29" s="25">
        <v>2</v>
      </c>
      <c r="N29" s="25">
        <v>2</v>
      </c>
      <c r="O29" s="9">
        <f t="shared" si="0"/>
        <v>19</v>
      </c>
      <c r="P29" s="9" t="str">
        <f t="shared" si="1"/>
        <v>Library-ready</v>
      </c>
      <c r="Q29" s="12" t="s">
        <v>1115</v>
      </c>
    </row>
    <row r="30" spans="1:17" ht="33.75" customHeight="1" x14ac:dyDescent="0.3">
      <c r="A30" s="9" t="s">
        <v>284</v>
      </c>
      <c r="B30" s="12" t="s">
        <v>285</v>
      </c>
      <c r="C30" s="12" t="s">
        <v>59</v>
      </c>
      <c r="D30" s="15" t="s">
        <v>250</v>
      </c>
      <c r="E30" s="25">
        <v>2</v>
      </c>
      <c r="F30" s="25">
        <v>2</v>
      </c>
      <c r="G30" s="25">
        <v>2</v>
      </c>
      <c r="H30" s="25">
        <v>2</v>
      </c>
      <c r="I30" s="25">
        <v>2</v>
      </c>
      <c r="J30" s="25">
        <v>2</v>
      </c>
      <c r="K30" s="25">
        <v>2</v>
      </c>
      <c r="L30" s="25">
        <v>2</v>
      </c>
      <c r="M30" s="25">
        <v>2</v>
      </c>
      <c r="N30" s="25">
        <v>2</v>
      </c>
      <c r="O30" s="9">
        <f t="shared" si="0"/>
        <v>20</v>
      </c>
      <c r="P30" s="9" t="str">
        <f t="shared" si="1"/>
        <v>Library-ready</v>
      </c>
      <c r="Q30" s="12" t="s">
        <v>1116</v>
      </c>
    </row>
    <row r="31" spans="1:17" ht="33.75" customHeight="1" x14ac:dyDescent="0.3">
      <c r="A31" s="9" t="s">
        <v>291</v>
      </c>
      <c r="B31" s="12" t="s">
        <v>292</v>
      </c>
      <c r="C31" s="12" t="s">
        <v>59</v>
      </c>
      <c r="D31" s="15" t="s">
        <v>250</v>
      </c>
      <c r="E31" s="25">
        <v>2</v>
      </c>
      <c r="F31" s="25">
        <v>2</v>
      </c>
      <c r="G31" s="25">
        <v>2</v>
      </c>
      <c r="H31" s="25">
        <v>2</v>
      </c>
      <c r="I31" s="25">
        <v>2</v>
      </c>
      <c r="J31" s="25">
        <v>2</v>
      </c>
      <c r="K31" s="25">
        <v>2</v>
      </c>
      <c r="L31" s="25">
        <v>2</v>
      </c>
      <c r="M31" s="25">
        <v>2</v>
      </c>
      <c r="N31" s="25">
        <v>2</v>
      </c>
      <c r="O31" s="9">
        <f t="shared" si="0"/>
        <v>20</v>
      </c>
      <c r="P31" s="9" t="str">
        <f t="shared" si="1"/>
        <v>Library-ready</v>
      </c>
      <c r="Q31" s="12" t="s">
        <v>1116</v>
      </c>
    </row>
    <row r="32" spans="1:17" ht="33.75" customHeight="1" x14ac:dyDescent="0.3">
      <c r="A32" s="9" t="s">
        <v>299</v>
      </c>
      <c r="B32" s="12" t="s">
        <v>301</v>
      </c>
      <c r="C32" s="12" t="s">
        <v>49</v>
      </c>
      <c r="D32" s="15" t="s">
        <v>250</v>
      </c>
      <c r="E32" s="25">
        <v>2</v>
      </c>
      <c r="F32" s="26">
        <v>1</v>
      </c>
      <c r="G32" s="25">
        <v>2</v>
      </c>
      <c r="H32" s="25">
        <v>2</v>
      </c>
      <c r="I32" s="25">
        <v>2</v>
      </c>
      <c r="J32" s="25">
        <v>2</v>
      </c>
      <c r="K32" s="25">
        <v>2</v>
      </c>
      <c r="L32" s="25">
        <v>2</v>
      </c>
      <c r="M32" s="25">
        <v>2</v>
      </c>
      <c r="N32" s="25">
        <v>2</v>
      </c>
      <c r="O32" s="9">
        <f t="shared" si="0"/>
        <v>19</v>
      </c>
      <c r="P32" s="9" t="str">
        <f t="shared" si="1"/>
        <v>Library-ready</v>
      </c>
      <c r="Q32" s="12" t="s">
        <v>1115</v>
      </c>
    </row>
    <row r="33" spans="1:17" ht="33.75" customHeight="1" x14ac:dyDescent="0.3">
      <c r="A33" s="9" t="s">
        <v>308</v>
      </c>
      <c r="B33" s="12" t="s">
        <v>309</v>
      </c>
      <c r="C33" s="12" t="s">
        <v>59</v>
      </c>
      <c r="D33" s="15" t="s">
        <v>250</v>
      </c>
      <c r="E33" s="25">
        <v>2</v>
      </c>
      <c r="F33" s="25">
        <v>2</v>
      </c>
      <c r="G33" s="25">
        <v>2</v>
      </c>
      <c r="H33" s="25">
        <v>2</v>
      </c>
      <c r="I33" s="25">
        <v>2</v>
      </c>
      <c r="J33" s="25">
        <v>2</v>
      </c>
      <c r="K33" s="25">
        <v>2</v>
      </c>
      <c r="L33" s="25">
        <v>2</v>
      </c>
      <c r="M33" s="25">
        <v>2</v>
      </c>
      <c r="N33" s="25">
        <v>2</v>
      </c>
      <c r="O33" s="9">
        <f t="shared" si="0"/>
        <v>20</v>
      </c>
      <c r="P33" s="9" t="str">
        <f t="shared" si="1"/>
        <v>Library-ready</v>
      </c>
      <c r="Q33" s="12" t="s">
        <v>1116</v>
      </c>
    </row>
    <row r="34" spans="1:17" ht="33.75" customHeight="1" x14ac:dyDescent="0.3">
      <c r="A34" s="9" t="s">
        <v>316</v>
      </c>
      <c r="B34" s="12" t="s">
        <v>317</v>
      </c>
      <c r="C34" s="12" t="s">
        <v>59</v>
      </c>
      <c r="D34" s="15" t="s">
        <v>250</v>
      </c>
      <c r="E34" s="25">
        <v>2</v>
      </c>
      <c r="F34" s="25">
        <v>2</v>
      </c>
      <c r="G34" s="25">
        <v>2</v>
      </c>
      <c r="H34" s="25">
        <v>2</v>
      </c>
      <c r="I34" s="25">
        <v>2</v>
      </c>
      <c r="J34" s="25">
        <v>2</v>
      </c>
      <c r="K34" s="25">
        <v>2</v>
      </c>
      <c r="L34" s="25">
        <v>2</v>
      </c>
      <c r="M34" s="25">
        <v>2</v>
      </c>
      <c r="N34" s="25">
        <v>2</v>
      </c>
      <c r="O34" s="9">
        <f t="shared" ref="O34:O65" si="2">SUM(E34:N34)</f>
        <v>20</v>
      </c>
      <c r="P34" s="9" t="str">
        <f t="shared" ref="P34:P65" si="3">IF(O34&gt;=17,"Library-ready",IF(O34&gt;=12,"Refine first","Rework"))</f>
        <v>Library-ready</v>
      </c>
      <c r="Q34" s="12" t="s">
        <v>1116</v>
      </c>
    </row>
    <row r="35" spans="1:17" ht="33.75" customHeight="1" x14ac:dyDescent="0.3">
      <c r="A35" s="9" t="s">
        <v>324</v>
      </c>
      <c r="B35" s="12" t="s">
        <v>326</v>
      </c>
      <c r="C35" s="12" t="s">
        <v>49</v>
      </c>
      <c r="D35" s="15" t="s">
        <v>250</v>
      </c>
      <c r="E35" s="25">
        <v>2</v>
      </c>
      <c r="F35" s="26">
        <v>1</v>
      </c>
      <c r="G35" s="25">
        <v>2</v>
      </c>
      <c r="H35" s="25">
        <v>2</v>
      </c>
      <c r="I35" s="25">
        <v>2</v>
      </c>
      <c r="J35" s="25">
        <v>2</v>
      </c>
      <c r="K35" s="25">
        <v>2</v>
      </c>
      <c r="L35" s="25">
        <v>2</v>
      </c>
      <c r="M35" s="25">
        <v>2</v>
      </c>
      <c r="N35" s="25">
        <v>2</v>
      </c>
      <c r="O35" s="9">
        <f t="shared" si="2"/>
        <v>19</v>
      </c>
      <c r="P35" s="9" t="str">
        <f t="shared" si="3"/>
        <v>Library-ready</v>
      </c>
      <c r="Q35" s="12" t="s">
        <v>1115</v>
      </c>
    </row>
    <row r="36" spans="1:17" ht="33.75" customHeight="1" x14ac:dyDescent="0.3">
      <c r="A36" s="9" t="s">
        <v>333</v>
      </c>
      <c r="B36" s="12" t="s">
        <v>334</v>
      </c>
      <c r="C36" s="12" t="s">
        <v>59</v>
      </c>
      <c r="D36" s="15" t="s">
        <v>250</v>
      </c>
      <c r="E36" s="25">
        <v>2</v>
      </c>
      <c r="F36" s="25">
        <v>2</v>
      </c>
      <c r="G36" s="25">
        <v>2</v>
      </c>
      <c r="H36" s="25">
        <v>2</v>
      </c>
      <c r="I36" s="25">
        <v>2</v>
      </c>
      <c r="J36" s="25">
        <v>2</v>
      </c>
      <c r="K36" s="25">
        <v>2</v>
      </c>
      <c r="L36" s="25">
        <v>2</v>
      </c>
      <c r="M36" s="25">
        <v>2</v>
      </c>
      <c r="N36" s="25">
        <v>2</v>
      </c>
      <c r="O36" s="9">
        <f t="shared" si="2"/>
        <v>20</v>
      </c>
      <c r="P36" s="9" t="str">
        <f t="shared" si="3"/>
        <v>Library-ready</v>
      </c>
      <c r="Q36" s="12" t="s">
        <v>1116</v>
      </c>
    </row>
    <row r="37" spans="1:17" ht="33.75" customHeight="1" x14ac:dyDescent="0.3">
      <c r="A37" s="9" t="s">
        <v>341</v>
      </c>
      <c r="B37" s="12" t="s">
        <v>342</v>
      </c>
      <c r="C37" s="12" t="s">
        <v>59</v>
      </c>
      <c r="D37" s="15" t="s">
        <v>250</v>
      </c>
      <c r="E37" s="25">
        <v>2</v>
      </c>
      <c r="F37" s="25">
        <v>2</v>
      </c>
      <c r="G37" s="25">
        <v>2</v>
      </c>
      <c r="H37" s="25">
        <v>2</v>
      </c>
      <c r="I37" s="25">
        <v>2</v>
      </c>
      <c r="J37" s="25">
        <v>2</v>
      </c>
      <c r="K37" s="25">
        <v>2</v>
      </c>
      <c r="L37" s="25">
        <v>2</v>
      </c>
      <c r="M37" s="25">
        <v>2</v>
      </c>
      <c r="N37" s="25">
        <v>2</v>
      </c>
      <c r="O37" s="9">
        <f t="shared" si="2"/>
        <v>20</v>
      </c>
      <c r="P37" s="9" t="str">
        <f t="shared" si="3"/>
        <v>Library-ready</v>
      </c>
      <c r="Q37" s="12" t="s">
        <v>1116</v>
      </c>
    </row>
    <row r="38" spans="1:17" ht="33.75" customHeight="1" x14ac:dyDescent="0.3">
      <c r="A38" s="9" t="s">
        <v>349</v>
      </c>
      <c r="B38" s="12" t="s">
        <v>351</v>
      </c>
      <c r="C38" s="12" t="s">
        <v>49</v>
      </c>
      <c r="D38" s="15" t="s">
        <v>250</v>
      </c>
      <c r="E38" s="25">
        <v>2</v>
      </c>
      <c r="F38" s="26">
        <v>1</v>
      </c>
      <c r="G38" s="25">
        <v>2</v>
      </c>
      <c r="H38" s="25">
        <v>2</v>
      </c>
      <c r="I38" s="25">
        <v>2</v>
      </c>
      <c r="J38" s="25">
        <v>2</v>
      </c>
      <c r="K38" s="25">
        <v>2</v>
      </c>
      <c r="L38" s="25">
        <v>2</v>
      </c>
      <c r="M38" s="25">
        <v>2</v>
      </c>
      <c r="N38" s="25">
        <v>2</v>
      </c>
      <c r="O38" s="9">
        <f t="shared" si="2"/>
        <v>19</v>
      </c>
      <c r="P38" s="9" t="str">
        <f t="shared" si="3"/>
        <v>Library-ready</v>
      </c>
      <c r="Q38" s="12" t="s">
        <v>1115</v>
      </c>
    </row>
    <row r="39" spans="1:17" ht="33.75" customHeight="1" x14ac:dyDescent="0.3">
      <c r="A39" s="9" t="s">
        <v>358</v>
      </c>
      <c r="B39" s="12" t="s">
        <v>359</v>
      </c>
      <c r="C39" s="12" t="s">
        <v>59</v>
      </c>
      <c r="D39" s="15" t="s">
        <v>250</v>
      </c>
      <c r="E39" s="25">
        <v>2</v>
      </c>
      <c r="F39" s="25">
        <v>2</v>
      </c>
      <c r="G39" s="25">
        <v>2</v>
      </c>
      <c r="H39" s="25">
        <v>2</v>
      </c>
      <c r="I39" s="25">
        <v>2</v>
      </c>
      <c r="J39" s="25">
        <v>2</v>
      </c>
      <c r="K39" s="25">
        <v>2</v>
      </c>
      <c r="L39" s="25">
        <v>2</v>
      </c>
      <c r="M39" s="25">
        <v>2</v>
      </c>
      <c r="N39" s="25">
        <v>2</v>
      </c>
      <c r="O39" s="9">
        <f t="shared" si="2"/>
        <v>20</v>
      </c>
      <c r="P39" s="9" t="str">
        <f t="shared" si="3"/>
        <v>Library-ready</v>
      </c>
      <c r="Q39" s="12" t="s">
        <v>1116</v>
      </c>
    </row>
    <row r="40" spans="1:17" ht="33.75" customHeight="1" x14ac:dyDescent="0.3">
      <c r="A40" s="9" t="s">
        <v>366</v>
      </c>
      <c r="B40" s="12" t="s">
        <v>367</v>
      </c>
      <c r="C40" s="12" t="s">
        <v>59</v>
      </c>
      <c r="D40" s="15" t="s">
        <v>250</v>
      </c>
      <c r="E40" s="25">
        <v>2</v>
      </c>
      <c r="F40" s="25">
        <v>2</v>
      </c>
      <c r="G40" s="25">
        <v>2</v>
      </c>
      <c r="H40" s="25">
        <v>2</v>
      </c>
      <c r="I40" s="25">
        <v>2</v>
      </c>
      <c r="J40" s="25">
        <v>2</v>
      </c>
      <c r="K40" s="25">
        <v>2</v>
      </c>
      <c r="L40" s="25">
        <v>2</v>
      </c>
      <c r="M40" s="25">
        <v>2</v>
      </c>
      <c r="N40" s="25">
        <v>2</v>
      </c>
      <c r="O40" s="9">
        <f t="shared" si="2"/>
        <v>20</v>
      </c>
      <c r="P40" s="9" t="str">
        <f t="shared" si="3"/>
        <v>Library-ready</v>
      </c>
      <c r="Q40" s="12" t="s">
        <v>1116</v>
      </c>
    </row>
    <row r="41" spans="1:17" ht="33.75" customHeight="1" x14ac:dyDescent="0.3">
      <c r="A41" s="9" t="s">
        <v>374</v>
      </c>
      <c r="B41" s="12" t="s">
        <v>376</v>
      </c>
      <c r="C41" s="12" t="s">
        <v>49</v>
      </c>
      <c r="D41" s="15" t="s">
        <v>250</v>
      </c>
      <c r="E41" s="25">
        <v>2</v>
      </c>
      <c r="F41" s="26">
        <v>1</v>
      </c>
      <c r="G41" s="25">
        <v>2</v>
      </c>
      <c r="H41" s="25">
        <v>2</v>
      </c>
      <c r="I41" s="25">
        <v>2</v>
      </c>
      <c r="J41" s="25">
        <v>2</v>
      </c>
      <c r="K41" s="25">
        <v>2</v>
      </c>
      <c r="L41" s="25">
        <v>2</v>
      </c>
      <c r="M41" s="25">
        <v>2</v>
      </c>
      <c r="N41" s="25">
        <v>2</v>
      </c>
      <c r="O41" s="9">
        <f t="shared" si="2"/>
        <v>19</v>
      </c>
      <c r="P41" s="9" t="str">
        <f t="shared" si="3"/>
        <v>Library-ready</v>
      </c>
      <c r="Q41" s="12" t="s">
        <v>1115</v>
      </c>
    </row>
    <row r="42" spans="1:17" ht="33.75" customHeight="1" x14ac:dyDescent="0.3">
      <c r="A42" s="9" t="s">
        <v>383</v>
      </c>
      <c r="B42" s="12" t="s">
        <v>384</v>
      </c>
      <c r="C42" s="12" t="s">
        <v>59</v>
      </c>
      <c r="D42" s="15" t="s">
        <v>250</v>
      </c>
      <c r="E42" s="25">
        <v>2</v>
      </c>
      <c r="F42" s="25">
        <v>2</v>
      </c>
      <c r="G42" s="25">
        <v>2</v>
      </c>
      <c r="H42" s="25">
        <v>2</v>
      </c>
      <c r="I42" s="25">
        <v>2</v>
      </c>
      <c r="J42" s="25">
        <v>2</v>
      </c>
      <c r="K42" s="25">
        <v>2</v>
      </c>
      <c r="L42" s="25">
        <v>2</v>
      </c>
      <c r="M42" s="25">
        <v>2</v>
      </c>
      <c r="N42" s="25">
        <v>2</v>
      </c>
      <c r="O42" s="9">
        <f t="shared" si="2"/>
        <v>20</v>
      </c>
      <c r="P42" s="9" t="str">
        <f t="shared" si="3"/>
        <v>Library-ready</v>
      </c>
      <c r="Q42" s="12" t="s">
        <v>1116</v>
      </c>
    </row>
    <row r="43" spans="1:17" ht="33.75" customHeight="1" x14ac:dyDescent="0.3">
      <c r="A43" s="9" t="s">
        <v>391</v>
      </c>
      <c r="B43" s="12" t="s">
        <v>392</v>
      </c>
      <c r="C43" s="12" t="s">
        <v>59</v>
      </c>
      <c r="D43" s="15" t="s">
        <v>250</v>
      </c>
      <c r="E43" s="25">
        <v>2</v>
      </c>
      <c r="F43" s="25">
        <v>2</v>
      </c>
      <c r="G43" s="25">
        <v>2</v>
      </c>
      <c r="H43" s="25">
        <v>2</v>
      </c>
      <c r="I43" s="25">
        <v>2</v>
      </c>
      <c r="J43" s="25">
        <v>2</v>
      </c>
      <c r="K43" s="25">
        <v>2</v>
      </c>
      <c r="L43" s="25">
        <v>2</v>
      </c>
      <c r="M43" s="25">
        <v>2</v>
      </c>
      <c r="N43" s="25">
        <v>2</v>
      </c>
      <c r="O43" s="9">
        <f t="shared" si="2"/>
        <v>20</v>
      </c>
      <c r="P43" s="9" t="str">
        <f t="shared" si="3"/>
        <v>Library-ready</v>
      </c>
      <c r="Q43" s="12" t="s">
        <v>1116</v>
      </c>
    </row>
    <row r="44" spans="1:17" ht="33.75" customHeight="1" x14ac:dyDescent="0.3">
      <c r="A44" s="9" t="s">
        <v>399</v>
      </c>
      <c r="B44" s="12" t="s">
        <v>401</v>
      </c>
      <c r="C44" s="12" t="s">
        <v>49</v>
      </c>
      <c r="D44" s="15" t="s">
        <v>250</v>
      </c>
      <c r="E44" s="25">
        <v>2</v>
      </c>
      <c r="F44" s="26">
        <v>1</v>
      </c>
      <c r="G44" s="25">
        <v>2</v>
      </c>
      <c r="H44" s="25">
        <v>2</v>
      </c>
      <c r="I44" s="25">
        <v>2</v>
      </c>
      <c r="J44" s="25">
        <v>2</v>
      </c>
      <c r="K44" s="25">
        <v>2</v>
      </c>
      <c r="L44" s="25">
        <v>2</v>
      </c>
      <c r="M44" s="25">
        <v>2</v>
      </c>
      <c r="N44" s="25">
        <v>2</v>
      </c>
      <c r="O44" s="9">
        <f t="shared" si="2"/>
        <v>19</v>
      </c>
      <c r="P44" s="9" t="str">
        <f t="shared" si="3"/>
        <v>Library-ready</v>
      </c>
      <c r="Q44" s="12" t="s">
        <v>1115</v>
      </c>
    </row>
    <row r="45" spans="1:17" ht="33.75" customHeight="1" x14ac:dyDescent="0.3">
      <c r="A45" s="9" t="s">
        <v>408</v>
      </c>
      <c r="B45" s="12" t="s">
        <v>409</v>
      </c>
      <c r="C45" s="12" t="s">
        <v>59</v>
      </c>
      <c r="D45" s="15" t="s">
        <v>250</v>
      </c>
      <c r="E45" s="25">
        <v>2</v>
      </c>
      <c r="F45" s="25">
        <v>2</v>
      </c>
      <c r="G45" s="25">
        <v>2</v>
      </c>
      <c r="H45" s="25">
        <v>2</v>
      </c>
      <c r="I45" s="25">
        <v>2</v>
      </c>
      <c r="J45" s="25">
        <v>2</v>
      </c>
      <c r="K45" s="25">
        <v>2</v>
      </c>
      <c r="L45" s="25">
        <v>2</v>
      </c>
      <c r="M45" s="25">
        <v>2</v>
      </c>
      <c r="N45" s="25">
        <v>2</v>
      </c>
      <c r="O45" s="9">
        <f t="shared" si="2"/>
        <v>20</v>
      </c>
      <c r="P45" s="9" t="str">
        <f t="shared" si="3"/>
        <v>Library-ready</v>
      </c>
      <c r="Q45" s="12" t="s">
        <v>1116</v>
      </c>
    </row>
    <row r="46" spans="1:17" ht="33.75" customHeight="1" x14ac:dyDescent="0.3">
      <c r="A46" s="9" t="s">
        <v>415</v>
      </c>
      <c r="B46" s="12" t="s">
        <v>416</v>
      </c>
      <c r="C46" s="12" t="s">
        <v>59</v>
      </c>
      <c r="D46" s="15" t="s">
        <v>250</v>
      </c>
      <c r="E46" s="25">
        <v>2</v>
      </c>
      <c r="F46" s="25">
        <v>2</v>
      </c>
      <c r="G46" s="25">
        <v>2</v>
      </c>
      <c r="H46" s="25">
        <v>2</v>
      </c>
      <c r="I46" s="25">
        <v>2</v>
      </c>
      <c r="J46" s="25">
        <v>2</v>
      </c>
      <c r="K46" s="25">
        <v>2</v>
      </c>
      <c r="L46" s="25">
        <v>2</v>
      </c>
      <c r="M46" s="25">
        <v>2</v>
      </c>
      <c r="N46" s="25">
        <v>2</v>
      </c>
      <c r="O46" s="9">
        <f t="shared" si="2"/>
        <v>20</v>
      </c>
      <c r="P46" s="9" t="str">
        <f t="shared" si="3"/>
        <v>Library-ready</v>
      </c>
      <c r="Q46" s="12" t="s">
        <v>1116</v>
      </c>
    </row>
    <row r="47" spans="1:17" ht="33.75" customHeight="1" x14ac:dyDescent="0.3">
      <c r="A47" s="9" t="s">
        <v>423</v>
      </c>
      <c r="B47" s="12" t="s">
        <v>425</v>
      </c>
      <c r="C47" s="12" t="s">
        <v>49</v>
      </c>
      <c r="D47" s="15" t="s">
        <v>250</v>
      </c>
      <c r="E47" s="25">
        <v>2</v>
      </c>
      <c r="F47" s="26">
        <v>1</v>
      </c>
      <c r="G47" s="25">
        <v>2</v>
      </c>
      <c r="H47" s="25">
        <v>2</v>
      </c>
      <c r="I47" s="25">
        <v>2</v>
      </c>
      <c r="J47" s="25">
        <v>2</v>
      </c>
      <c r="K47" s="25">
        <v>2</v>
      </c>
      <c r="L47" s="25">
        <v>2</v>
      </c>
      <c r="M47" s="25">
        <v>2</v>
      </c>
      <c r="N47" s="25">
        <v>2</v>
      </c>
      <c r="O47" s="9">
        <f t="shared" si="2"/>
        <v>19</v>
      </c>
      <c r="P47" s="9" t="str">
        <f t="shared" si="3"/>
        <v>Library-ready</v>
      </c>
      <c r="Q47" s="12" t="s">
        <v>1115</v>
      </c>
    </row>
    <row r="48" spans="1:17" ht="33.75" customHeight="1" x14ac:dyDescent="0.3">
      <c r="A48" s="9" t="s">
        <v>432</v>
      </c>
      <c r="B48" s="12" t="s">
        <v>433</v>
      </c>
      <c r="C48" s="12" t="s">
        <v>59</v>
      </c>
      <c r="D48" s="15" t="s">
        <v>250</v>
      </c>
      <c r="E48" s="25">
        <v>2</v>
      </c>
      <c r="F48" s="25">
        <v>2</v>
      </c>
      <c r="G48" s="25">
        <v>2</v>
      </c>
      <c r="H48" s="25">
        <v>2</v>
      </c>
      <c r="I48" s="25">
        <v>2</v>
      </c>
      <c r="J48" s="25">
        <v>2</v>
      </c>
      <c r="K48" s="25">
        <v>2</v>
      </c>
      <c r="L48" s="25">
        <v>2</v>
      </c>
      <c r="M48" s="25">
        <v>2</v>
      </c>
      <c r="N48" s="25">
        <v>2</v>
      </c>
      <c r="O48" s="9">
        <f t="shared" si="2"/>
        <v>20</v>
      </c>
      <c r="P48" s="9" t="str">
        <f t="shared" si="3"/>
        <v>Library-ready</v>
      </c>
      <c r="Q48" s="12" t="s">
        <v>1116</v>
      </c>
    </row>
    <row r="49" spans="1:17" ht="33.75" customHeight="1" x14ac:dyDescent="0.3">
      <c r="A49" s="9" t="s">
        <v>440</v>
      </c>
      <c r="B49" s="12" t="s">
        <v>441</v>
      </c>
      <c r="C49" s="12" t="s">
        <v>59</v>
      </c>
      <c r="D49" s="15" t="s">
        <v>250</v>
      </c>
      <c r="E49" s="25">
        <v>2</v>
      </c>
      <c r="F49" s="25">
        <v>2</v>
      </c>
      <c r="G49" s="25">
        <v>2</v>
      </c>
      <c r="H49" s="25">
        <v>2</v>
      </c>
      <c r="I49" s="25">
        <v>2</v>
      </c>
      <c r="J49" s="25">
        <v>2</v>
      </c>
      <c r="K49" s="25">
        <v>2</v>
      </c>
      <c r="L49" s="25">
        <v>2</v>
      </c>
      <c r="M49" s="25">
        <v>2</v>
      </c>
      <c r="N49" s="25">
        <v>2</v>
      </c>
      <c r="O49" s="9">
        <f t="shared" si="2"/>
        <v>20</v>
      </c>
      <c r="P49" s="9" t="str">
        <f t="shared" si="3"/>
        <v>Library-ready</v>
      </c>
      <c r="Q49" s="12" t="s">
        <v>1116</v>
      </c>
    </row>
    <row r="50" spans="1:17" ht="33.75" customHeight="1" x14ac:dyDescent="0.3">
      <c r="A50" s="9" t="s">
        <v>448</v>
      </c>
      <c r="B50" s="12" t="s">
        <v>450</v>
      </c>
      <c r="C50" s="12" t="s">
        <v>49</v>
      </c>
      <c r="D50" s="15" t="s">
        <v>250</v>
      </c>
      <c r="E50" s="25">
        <v>2</v>
      </c>
      <c r="F50" s="26">
        <v>1</v>
      </c>
      <c r="G50" s="25">
        <v>2</v>
      </c>
      <c r="H50" s="25">
        <v>2</v>
      </c>
      <c r="I50" s="25">
        <v>2</v>
      </c>
      <c r="J50" s="25">
        <v>2</v>
      </c>
      <c r="K50" s="25">
        <v>2</v>
      </c>
      <c r="L50" s="25">
        <v>2</v>
      </c>
      <c r="M50" s="25">
        <v>2</v>
      </c>
      <c r="N50" s="25">
        <v>2</v>
      </c>
      <c r="O50" s="9">
        <f t="shared" si="2"/>
        <v>19</v>
      </c>
      <c r="P50" s="9" t="str">
        <f t="shared" si="3"/>
        <v>Library-ready</v>
      </c>
      <c r="Q50" s="12" t="s">
        <v>1115</v>
      </c>
    </row>
    <row r="51" spans="1:17" ht="33.75" customHeight="1" x14ac:dyDescent="0.3">
      <c r="A51" s="9" t="s">
        <v>457</v>
      </c>
      <c r="B51" s="12" t="s">
        <v>458</v>
      </c>
      <c r="C51" s="12" t="s">
        <v>59</v>
      </c>
      <c r="D51" s="15" t="s">
        <v>250</v>
      </c>
      <c r="E51" s="25">
        <v>2</v>
      </c>
      <c r="F51" s="25">
        <v>2</v>
      </c>
      <c r="G51" s="25">
        <v>2</v>
      </c>
      <c r="H51" s="25">
        <v>2</v>
      </c>
      <c r="I51" s="25">
        <v>2</v>
      </c>
      <c r="J51" s="25">
        <v>2</v>
      </c>
      <c r="K51" s="25">
        <v>2</v>
      </c>
      <c r="L51" s="25">
        <v>2</v>
      </c>
      <c r="M51" s="25">
        <v>2</v>
      </c>
      <c r="N51" s="25">
        <v>2</v>
      </c>
      <c r="O51" s="9">
        <f t="shared" si="2"/>
        <v>20</v>
      </c>
      <c r="P51" s="9" t="str">
        <f t="shared" si="3"/>
        <v>Library-ready</v>
      </c>
      <c r="Q51" s="12" t="s">
        <v>1116</v>
      </c>
    </row>
    <row r="52" spans="1:17" ht="33.75" customHeight="1" x14ac:dyDescent="0.3">
      <c r="A52" s="9" t="s">
        <v>465</v>
      </c>
      <c r="B52" s="12" t="s">
        <v>466</v>
      </c>
      <c r="C52" s="12" t="s">
        <v>59</v>
      </c>
      <c r="D52" s="15" t="s">
        <v>250</v>
      </c>
      <c r="E52" s="25">
        <v>2</v>
      </c>
      <c r="F52" s="25">
        <v>2</v>
      </c>
      <c r="G52" s="25">
        <v>2</v>
      </c>
      <c r="H52" s="25">
        <v>2</v>
      </c>
      <c r="I52" s="25">
        <v>2</v>
      </c>
      <c r="J52" s="25">
        <v>2</v>
      </c>
      <c r="K52" s="25">
        <v>2</v>
      </c>
      <c r="L52" s="25">
        <v>2</v>
      </c>
      <c r="M52" s="25">
        <v>2</v>
      </c>
      <c r="N52" s="25">
        <v>2</v>
      </c>
      <c r="O52" s="9">
        <f t="shared" si="2"/>
        <v>20</v>
      </c>
      <c r="P52" s="9" t="str">
        <f t="shared" si="3"/>
        <v>Library-ready</v>
      </c>
      <c r="Q52" s="12" t="s">
        <v>1116</v>
      </c>
    </row>
    <row r="53" spans="1:17" ht="33.75" customHeight="1" x14ac:dyDescent="0.3">
      <c r="A53" s="9" t="s">
        <v>473</v>
      </c>
      <c r="B53" s="12" t="s">
        <v>476</v>
      </c>
      <c r="C53" s="12" t="s">
        <v>49</v>
      </c>
      <c r="D53" s="17" t="s">
        <v>474</v>
      </c>
      <c r="E53" s="25">
        <v>2</v>
      </c>
      <c r="F53" s="26">
        <v>1</v>
      </c>
      <c r="G53" s="25">
        <v>2</v>
      </c>
      <c r="H53" s="25">
        <v>2</v>
      </c>
      <c r="I53" s="25">
        <v>2</v>
      </c>
      <c r="J53" s="25">
        <v>2</v>
      </c>
      <c r="K53" s="25">
        <v>2</v>
      </c>
      <c r="L53" s="25">
        <v>2</v>
      </c>
      <c r="M53" s="25">
        <v>2</v>
      </c>
      <c r="N53" s="25">
        <v>2</v>
      </c>
      <c r="O53" s="9">
        <f t="shared" si="2"/>
        <v>19</v>
      </c>
      <c r="P53" s="9" t="str">
        <f t="shared" si="3"/>
        <v>Library-ready</v>
      </c>
      <c r="Q53" s="12" t="s">
        <v>1115</v>
      </c>
    </row>
    <row r="54" spans="1:17" ht="33.75" customHeight="1" x14ac:dyDescent="0.3">
      <c r="A54" s="9" t="s">
        <v>483</v>
      </c>
      <c r="B54" s="12" t="s">
        <v>484</v>
      </c>
      <c r="C54" s="12" t="s">
        <v>59</v>
      </c>
      <c r="D54" s="17" t="s">
        <v>474</v>
      </c>
      <c r="E54" s="25">
        <v>2</v>
      </c>
      <c r="F54" s="25">
        <v>2</v>
      </c>
      <c r="G54" s="25">
        <v>2</v>
      </c>
      <c r="H54" s="25">
        <v>2</v>
      </c>
      <c r="I54" s="25">
        <v>2</v>
      </c>
      <c r="J54" s="25">
        <v>2</v>
      </c>
      <c r="K54" s="25">
        <v>2</v>
      </c>
      <c r="L54" s="25">
        <v>2</v>
      </c>
      <c r="M54" s="25">
        <v>2</v>
      </c>
      <c r="N54" s="25">
        <v>2</v>
      </c>
      <c r="O54" s="9">
        <f t="shared" si="2"/>
        <v>20</v>
      </c>
      <c r="P54" s="9" t="str">
        <f t="shared" si="3"/>
        <v>Library-ready</v>
      </c>
      <c r="Q54" s="12" t="s">
        <v>1116</v>
      </c>
    </row>
    <row r="55" spans="1:17" ht="33.75" customHeight="1" x14ac:dyDescent="0.3">
      <c r="A55" s="9" t="s">
        <v>491</v>
      </c>
      <c r="B55" s="12" t="s">
        <v>492</v>
      </c>
      <c r="C55" s="12" t="s">
        <v>59</v>
      </c>
      <c r="D55" s="17" t="s">
        <v>474</v>
      </c>
      <c r="E55" s="25">
        <v>2</v>
      </c>
      <c r="F55" s="25">
        <v>2</v>
      </c>
      <c r="G55" s="25">
        <v>2</v>
      </c>
      <c r="H55" s="25">
        <v>2</v>
      </c>
      <c r="I55" s="25">
        <v>2</v>
      </c>
      <c r="J55" s="25">
        <v>2</v>
      </c>
      <c r="K55" s="25">
        <v>2</v>
      </c>
      <c r="L55" s="25">
        <v>2</v>
      </c>
      <c r="M55" s="25">
        <v>2</v>
      </c>
      <c r="N55" s="25">
        <v>2</v>
      </c>
      <c r="O55" s="9">
        <f t="shared" si="2"/>
        <v>20</v>
      </c>
      <c r="P55" s="9" t="str">
        <f t="shared" si="3"/>
        <v>Library-ready</v>
      </c>
      <c r="Q55" s="12" t="s">
        <v>1116</v>
      </c>
    </row>
    <row r="56" spans="1:17" ht="33.75" customHeight="1" x14ac:dyDescent="0.3">
      <c r="A56" s="9" t="s">
        <v>499</v>
      </c>
      <c r="B56" s="12" t="s">
        <v>501</v>
      </c>
      <c r="C56" s="12" t="s">
        <v>49</v>
      </c>
      <c r="D56" s="17" t="s">
        <v>474</v>
      </c>
      <c r="E56" s="25">
        <v>2</v>
      </c>
      <c r="F56" s="26">
        <v>1</v>
      </c>
      <c r="G56" s="25">
        <v>2</v>
      </c>
      <c r="H56" s="25">
        <v>2</v>
      </c>
      <c r="I56" s="25">
        <v>2</v>
      </c>
      <c r="J56" s="25">
        <v>2</v>
      </c>
      <c r="K56" s="25">
        <v>2</v>
      </c>
      <c r="L56" s="25">
        <v>2</v>
      </c>
      <c r="M56" s="25">
        <v>2</v>
      </c>
      <c r="N56" s="25">
        <v>2</v>
      </c>
      <c r="O56" s="9">
        <f t="shared" si="2"/>
        <v>19</v>
      </c>
      <c r="P56" s="9" t="str">
        <f t="shared" si="3"/>
        <v>Library-ready</v>
      </c>
      <c r="Q56" s="12" t="s">
        <v>1115</v>
      </c>
    </row>
    <row r="57" spans="1:17" ht="33.75" customHeight="1" x14ac:dyDescent="0.3">
      <c r="A57" s="9" t="s">
        <v>508</v>
      </c>
      <c r="B57" s="12" t="s">
        <v>509</v>
      </c>
      <c r="C57" s="12" t="s">
        <v>59</v>
      </c>
      <c r="D57" s="17" t="s">
        <v>474</v>
      </c>
      <c r="E57" s="25">
        <v>2</v>
      </c>
      <c r="F57" s="25">
        <v>2</v>
      </c>
      <c r="G57" s="25">
        <v>2</v>
      </c>
      <c r="H57" s="25">
        <v>2</v>
      </c>
      <c r="I57" s="25">
        <v>2</v>
      </c>
      <c r="J57" s="25">
        <v>2</v>
      </c>
      <c r="K57" s="25">
        <v>2</v>
      </c>
      <c r="L57" s="25">
        <v>2</v>
      </c>
      <c r="M57" s="25">
        <v>2</v>
      </c>
      <c r="N57" s="25">
        <v>2</v>
      </c>
      <c r="O57" s="9">
        <f t="shared" si="2"/>
        <v>20</v>
      </c>
      <c r="P57" s="9" t="str">
        <f t="shared" si="3"/>
        <v>Library-ready</v>
      </c>
      <c r="Q57" s="12" t="s">
        <v>1116</v>
      </c>
    </row>
    <row r="58" spans="1:17" ht="33.75" customHeight="1" x14ac:dyDescent="0.3">
      <c r="A58" s="9" t="s">
        <v>516</v>
      </c>
      <c r="B58" s="12" t="s">
        <v>517</v>
      </c>
      <c r="C58" s="12" t="s">
        <v>59</v>
      </c>
      <c r="D58" s="17" t="s">
        <v>474</v>
      </c>
      <c r="E58" s="25">
        <v>2</v>
      </c>
      <c r="F58" s="25">
        <v>2</v>
      </c>
      <c r="G58" s="25">
        <v>2</v>
      </c>
      <c r="H58" s="25">
        <v>2</v>
      </c>
      <c r="I58" s="25">
        <v>2</v>
      </c>
      <c r="J58" s="25">
        <v>2</v>
      </c>
      <c r="K58" s="25">
        <v>2</v>
      </c>
      <c r="L58" s="25">
        <v>2</v>
      </c>
      <c r="M58" s="25">
        <v>2</v>
      </c>
      <c r="N58" s="25">
        <v>2</v>
      </c>
      <c r="O58" s="9">
        <f t="shared" si="2"/>
        <v>20</v>
      </c>
      <c r="P58" s="9" t="str">
        <f t="shared" si="3"/>
        <v>Library-ready</v>
      </c>
      <c r="Q58" s="12" t="s">
        <v>1116</v>
      </c>
    </row>
    <row r="59" spans="1:17" ht="33.75" customHeight="1" x14ac:dyDescent="0.3">
      <c r="A59" s="9" t="s">
        <v>524</v>
      </c>
      <c r="B59" s="12" t="s">
        <v>526</v>
      </c>
      <c r="C59" s="12" t="s">
        <v>49</v>
      </c>
      <c r="D59" s="17" t="s">
        <v>474</v>
      </c>
      <c r="E59" s="25">
        <v>2</v>
      </c>
      <c r="F59" s="26">
        <v>1</v>
      </c>
      <c r="G59" s="25">
        <v>2</v>
      </c>
      <c r="H59" s="25">
        <v>2</v>
      </c>
      <c r="I59" s="25">
        <v>2</v>
      </c>
      <c r="J59" s="25">
        <v>2</v>
      </c>
      <c r="K59" s="25">
        <v>2</v>
      </c>
      <c r="L59" s="25">
        <v>2</v>
      </c>
      <c r="M59" s="25">
        <v>2</v>
      </c>
      <c r="N59" s="25">
        <v>2</v>
      </c>
      <c r="O59" s="9">
        <f t="shared" si="2"/>
        <v>19</v>
      </c>
      <c r="P59" s="9" t="str">
        <f t="shared" si="3"/>
        <v>Library-ready</v>
      </c>
      <c r="Q59" s="12" t="s">
        <v>1115</v>
      </c>
    </row>
    <row r="60" spans="1:17" ht="33.75" customHeight="1" x14ac:dyDescent="0.3">
      <c r="A60" s="9" t="s">
        <v>533</v>
      </c>
      <c r="B60" s="12" t="s">
        <v>534</v>
      </c>
      <c r="C60" s="12" t="s">
        <v>59</v>
      </c>
      <c r="D60" s="17" t="s">
        <v>474</v>
      </c>
      <c r="E60" s="25">
        <v>2</v>
      </c>
      <c r="F60" s="25">
        <v>2</v>
      </c>
      <c r="G60" s="25">
        <v>2</v>
      </c>
      <c r="H60" s="25">
        <v>2</v>
      </c>
      <c r="I60" s="25">
        <v>2</v>
      </c>
      <c r="J60" s="25">
        <v>2</v>
      </c>
      <c r="K60" s="25">
        <v>2</v>
      </c>
      <c r="L60" s="25">
        <v>2</v>
      </c>
      <c r="M60" s="25">
        <v>2</v>
      </c>
      <c r="N60" s="25">
        <v>2</v>
      </c>
      <c r="O60" s="9">
        <f t="shared" si="2"/>
        <v>20</v>
      </c>
      <c r="P60" s="9" t="str">
        <f t="shared" si="3"/>
        <v>Library-ready</v>
      </c>
      <c r="Q60" s="12" t="s">
        <v>1116</v>
      </c>
    </row>
    <row r="61" spans="1:17" ht="33.75" customHeight="1" x14ac:dyDescent="0.3">
      <c r="A61" s="9" t="s">
        <v>541</v>
      </c>
      <c r="B61" s="12" t="s">
        <v>542</v>
      </c>
      <c r="C61" s="12" t="s">
        <v>59</v>
      </c>
      <c r="D61" s="17" t="s">
        <v>474</v>
      </c>
      <c r="E61" s="25">
        <v>2</v>
      </c>
      <c r="F61" s="25">
        <v>2</v>
      </c>
      <c r="G61" s="25">
        <v>2</v>
      </c>
      <c r="H61" s="25">
        <v>2</v>
      </c>
      <c r="I61" s="25">
        <v>2</v>
      </c>
      <c r="J61" s="25">
        <v>2</v>
      </c>
      <c r="K61" s="25">
        <v>2</v>
      </c>
      <c r="L61" s="25">
        <v>2</v>
      </c>
      <c r="M61" s="25">
        <v>2</v>
      </c>
      <c r="N61" s="25">
        <v>2</v>
      </c>
      <c r="O61" s="9">
        <f t="shared" si="2"/>
        <v>20</v>
      </c>
      <c r="P61" s="9" t="str">
        <f t="shared" si="3"/>
        <v>Library-ready</v>
      </c>
      <c r="Q61" s="12" t="s">
        <v>1116</v>
      </c>
    </row>
    <row r="62" spans="1:17" ht="33.75" customHeight="1" x14ac:dyDescent="0.3">
      <c r="A62" s="9" t="s">
        <v>549</v>
      </c>
      <c r="B62" s="12" t="s">
        <v>551</v>
      </c>
      <c r="C62" s="12" t="s">
        <v>49</v>
      </c>
      <c r="D62" s="17" t="s">
        <v>474</v>
      </c>
      <c r="E62" s="25">
        <v>2</v>
      </c>
      <c r="F62" s="26">
        <v>1</v>
      </c>
      <c r="G62" s="25">
        <v>2</v>
      </c>
      <c r="H62" s="25">
        <v>2</v>
      </c>
      <c r="I62" s="25">
        <v>2</v>
      </c>
      <c r="J62" s="25">
        <v>2</v>
      </c>
      <c r="K62" s="25">
        <v>2</v>
      </c>
      <c r="L62" s="25">
        <v>2</v>
      </c>
      <c r="M62" s="25">
        <v>2</v>
      </c>
      <c r="N62" s="25">
        <v>2</v>
      </c>
      <c r="O62" s="9">
        <f t="shared" si="2"/>
        <v>19</v>
      </c>
      <c r="P62" s="9" t="str">
        <f t="shared" si="3"/>
        <v>Library-ready</v>
      </c>
      <c r="Q62" s="12" t="s">
        <v>1115</v>
      </c>
    </row>
    <row r="63" spans="1:17" ht="33.75" customHeight="1" x14ac:dyDescent="0.3">
      <c r="A63" s="9" t="s">
        <v>558</v>
      </c>
      <c r="B63" s="12" t="s">
        <v>559</v>
      </c>
      <c r="C63" s="12" t="s">
        <v>59</v>
      </c>
      <c r="D63" s="17" t="s">
        <v>474</v>
      </c>
      <c r="E63" s="25">
        <v>2</v>
      </c>
      <c r="F63" s="25">
        <v>2</v>
      </c>
      <c r="G63" s="25">
        <v>2</v>
      </c>
      <c r="H63" s="25">
        <v>2</v>
      </c>
      <c r="I63" s="25">
        <v>2</v>
      </c>
      <c r="J63" s="25">
        <v>2</v>
      </c>
      <c r="K63" s="25">
        <v>2</v>
      </c>
      <c r="L63" s="25">
        <v>2</v>
      </c>
      <c r="M63" s="25">
        <v>2</v>
      </c>
      <c r="N63" s="25">
        <v>2</v>
      </c>
      <c r="O63" s="9">
        <f t="shared" si="2"/>
        <v>20</v>
      </c>
      <c r="P63" s="9" t="str">
        <f t="shared" si="3"/>
        <v>Library-ready</v>
      </c>
      <c r="Q63" s="12" t="s">
        <v>1116</v>
      </c>
    </row>
    <row r="64" spans="1:17" ht="33.75" customHeight="1" x14ac:dyDescent="0.3">
      <c r="A64" s="9" t="s">
        <v>566</v>
      </c>
      <c r="B64" s="12" t="s">
        <v>567</v>
      </c>
      <c r="C64" s="12" t="s">
        <v>59</v>
      </c>
      <c r="D64" s="17" t="s">
        <v>474</v>
      </c>
      <c r="E64" s="25">
        <v>2</v>
      </c>
      <c r="F64" s="25">
        <v>2</v>
      </c>
      <c r="G64" s="25">
        <v>2</v>
      </c>
      <c r="H64" s="25">
        <v>2</v>
      </c>
      <c r="I64" s="25">
        <v>2</v>
      </c>
      <c r="J64" s="25">
        <v>2</v>
      </c>
      <c r="K64" s="25">
        <v>2</v>
      </c>
      <c r="L64" s="25">
        <v>2</v>
      </c>
      <c r="M64" s="25">
        <v>2</v>
      </c>
      <c r="N64" s="25">
        <v>2</v>
      </c>
      <c r="O64" s="9">
        <f t="shared" si="2"/>
        <v>20</v>
      </c>
      <c r="P64" s="9" t="str">
        <f t="shared" si="3"/>
        <v>Library-ready</v>
      </c>
      <c r="Q64" s="12" t="s">
        <v>1116</v>
      </c>
    </row>
    <row r="65" spans="1:17" ht="33.75" customHeight="1" x14ac:dyDescent="0.3">
      <c r="A65" s="9" t="s">
        <v>574</v>
      </c>
      <c r="B65" s="12" t="s">
        <v>576</v>
      </c>
      <c r="C65" s="12" t="s">
        <v>49</v>
      </c>
      <c r="D65" s="17" t="s">
        <v>474</v>
      </c>
      <c r="E65" s="25">
        <v>2</v>
      </c>
      <c r="F65" s="26">
        <v>1</v>
      </c>
      <c r="G65" s="25">
        <v>2</v>
      </c>
      <c r="H65" s="25">
        <v>2</v>
      </c>
      <c r="I65" s="25">
        <v>2</v>
      </c>
      <c r="J65" s="25">
        <v>2</v>
      </c>
      <c r="K65" s="25">
        <v>2</v>
      </c>
      <c r="L65" s="25">
        <v>2</v>
      </c>
      <c r="M65" s="25">
        <v>2</v>
      </c>
      <c r="N65" s="25">
        <v>2</v>
      </c>
      <c r="O65" s="9">
        <f t="shared" si="2"/>
        <v>19</v>
      </c>
      <c r="P65" s="9" t="str">
        <f t="shared" si="3"/>
        <v>Library-ready</v>
      </c>
      <c r="Q65" s="12" t="s">
        <v>1115</v>
      </c>
    </row>
    <row r="66" spans="1:17" ht="33.75" customHeight="1" x14ac:dyDescent="0.3">
      <c r="A66" s="9" t="s">
        <v>583</v>
      </c>
      <c r="B66" s="12" t="s">
        <v>584</v>
      </c>
      <c r="C66" s="12" t="s">
        <v>59</v>
      </c>
      <c r="D66" s="17" t="s">
        <v>474</v>
      </c>
      <c r="E66" s="25">
        <v>2</v>
      </c>
      <c r="F66" s="25">
        <v>2</v>
      </c>
      <c r="G66" s="25">
        <v>2</v>
      </c>
      <c r="H66" s="25">
        <v>2</v>
      </c>
      <c r="I66" s="25">
        <v>2</v>
      </c>
      <c r="J66" s="25">
        <v>2</v>
      </c>
      <c r="K66" s="25">
        <v>2</v>
      </c>
      <c r="L66" s="25">
        <v>2</v>
      </c>
      <c r="M66" s="25">
        <v>2</v>
      </c>
      <c r="N66" s="25">
        <v>2</v>
      </c>
      <c r="O66" s="9">
        <f t="shared" ref="O66:O97" si="4">SUM(E66:N66)</f>
        <v>20</v>
      </c>
      <c r="P66" s="9" t="str">
        <f t="shared" ref="P66:P97" si="5">IF(O66&gt;=17,"Library-ready",IF(O66&gt;=12,"Refine first","Rework"))</f>
        <v>Library-ready</v>
      </c>
      <c r="Q66" s="12" t="s">
        <v>1116</v>
      </c>
    </row>
    <row r="67" spans="1:17" ht="33.75" customHeight="1" x14ac:dyDescent="0.3">
      <c r="A67" s="9" t="s">
        <v>591</v>
      </c>
      <c r="B67" s="12" t="s">
        <v>592</v>
      </c>
      <c r="C67" s="12" t="s">
        <v>59</v>
      </c>
      <c r="D67" s="17" t="s">
        <v>474</v>
      </c>
      <c r="E67" s="25">
        <v>2</v>
      </c>
      <c r="F67" s="25">
        <v>2</v>
      </c>
      <c r="G67" s="25">
        <v>2</v>
      </c>
      <c r="H67" s="25">
        <v>2</v>
      </c>
      <c r="I67" s="25">
        <v>2</v>
      </c>
      <c r="J67" s="25">
        <v>2</v>
      </c>
      <c r="K67" s="25">
        <v>2</v>
      </c>
      <c r="L67" s="25">
        <v>2</v>
      </c>
      <c r="M67" s="25">
        <v>2</v>
      </c>
      <c r="N67" s="25">
        <v>2</v>
      </c>
      <c r="O67" s="9">
        <f t="shared" si="4"/>
        <v>20</v>
      </c>
      <c r="P67" s="9" t="str">
        <f t="shared" si="5"/>
        <v>Library-ready</v>
      </c>
      <c r="Q67" s="12" t="s">
        <v>1116</v>
      </c>
    </row>
    <row r="68" spans="1:17" ht="33.75" customHeight="1" x14ac:dyDescent="0.3">
      <c r="A68" s="9" t="s">
        <v>599</v>
      </c>
      <c r="B68" s="12" t="s">
        <v>601</v>
      </c>
      <c r="C68" s="12" t="s">
        <v>49</v>
      </c>
      <c r="D68" s="17" t="s">
        <v>474</v>
      </c>
      <c r="E68" s="25">
        <v>2</v>
      </c>
      <c r="F68" s="26">
        <v>1</v>
      </c>
      <c r="G68" s="25">
        <v>2</v>
      </c>
      <c r="H68" s="25">
        <v>2</v>
      </c>
      <c r="I68" s="25">
        <v>2</v>
      </c>
      <c r="J68" s="25">
        <v>2</v>
      </c>
      <c r="K68" s="25">
        <v>2</v>
      </c>
      <c r="L68" s="25">
        <v>2</v>
      </c>
      <c r="M68" s="25">
        <v>2</v>
      </c>
      <c r="N68" s="25">
        <v>2</v>
      </c>
      <c r="O68" s="9">
        <f t="shared" si="4"/>
        <v>19</v>
      </c>
      <c r="P68" s="9" t="str">
        <f t="shared" si="5"/>
        <v>Library-ready</v>
      </c>
      <c r="Q68" s="12" t="s">
        <v>1115</v>
      </c>
    </row>
    <row r="69" spans="1:17" ht="33.75" customHeight="1" x14ac:dyDescent="0.3">
      <c r="A69" s="9" t="s">
        <v>608</v>
      </c>
      <c r="B69" s="12" t="s">
        <v>609</v>
      </c>
      <c r="C69" s="12" t="s">
        <v>59</v>
      </c>
      <c r="D69" s="17" t="s">
        <v>474</v>
      </c>
      <c r="E69" s="25">
        <v>2</v>
      </c>
      <c r="F69" s="25">
        <v>2</v>
      </c>
      <c r="G69" s="25">
        <v>2</v>
      </c>
      <c r="H69" s="25">
        <v>2</v>
      </c>
      <c r="I69" s="25">
        <v>2</v>
      </c>
      <c r="J69" s="25">
        <v>2</v>
      </c>
      <c r="K69" s="25">
        <v>2</v>
      </c>
      <c r="L69" s="25">
        <v>2</v>
      </c>
      <c r="M69" s="25">
        <v>2</v>
      </c>
      <c r="N69" s="25">
        <v>2</v>
      </c>
      <c r="O69" s="9">
        <f t="shared" si="4"/>
        <v>20</v>
      </c>
      <c r="P69" s="9" t="str">
        <f t="shared" si="5"/>
        <v>Library-ready</v>
      </c>
      <c r="Q69" s="12" t="s">
        <v>1116</v>
      </c>
    </row>
    <row r="70" spans="1:17" ht="33.75" customHeight="1" x14ac:dyDescent="0.3">
      <c r="A70" s="9" t="s">
        <v>616</v>
      </c>
      <c r="B70" s="12" t="s">
        <v>617</v>
      </c>
      <c r="C70" s="12" t="s">
        <v>59</v>
      </c>
      <c r="D70" s="17" t="s">
        <v>474</v>
      </c>
      <c r="E70" s="25">
        <v>2</v>
      </c>
      <c r="F70" s="25">
        <v>2</v>
      </c>
      <c r="G70" s="25">
        <v>2</v>
      </c>
      <c r="H70" s="25">
        <v>2</v>
      </c>
      <c r="I70" s="25">
        <v>2</v>
      </c>
      <c r="J70" s="25">
        <v>2</v>
      </c>
      <c r="K70" s="25">
        <v>2</v>
      </c>
      <c r="L70" s="25">
        <v>2</v>
      </c>
      <c r="M70" s="25">
        <v>2</v>
      </c>
      <c r="N70" s="25">
        <v>2</v>
      </c>
      <c r="O70" s="9">
        <f t="shared" si="4"/>
        <v>20</v>
      </c>
      <c r="P70" s="9" t="str">
        <f t="shared" si="5"/>
        <v>Library-ready</v>
      </c>
      <c r="Q70" s="12" t="s">
        <v>1116</v>
      </c>
    </row>
    <row r="71" spans="1:17" ht="33.75" customHeight="1" x14ac:dyDescent="0.3">
      <c r="A71" s="9" t="s">
        <v>624</v>
      </c>
      <c r="B71" s="12" t="s">
        <v>627</v>
      </c>
      <c r="C71" s="12" t="s">
        <v>49</v>
      </c>
      <c r="D71" s="19" t="s">
        <v>625</v>
      </c>
      <c r="E71" s="25">
        <v>2</v>
      </c>
      <c r="F71" s="26">
        <v>1</v>
      </c>
      <c r="G71" s="25">
        <v>2</v>
      </c>
      <c r="H71" s="25">
        <v>2</v>
      </c>
      <c r="I71" s="25">
        <v>2</v>
      </c>
      <c r="J71" s="25">
        <v>2</v>
      </c>
      <c r="K71" s="25">
        <v>2</v>
      </c>
      <c r="L71" s="25">
        <v>2</v>
      </c>
      <c r="M71" s="25">
        <v>2</v>
      </c>
      <c r="N71" s="25">
        <v>2</v>
      </c>
      <c r="O71" s="9">
        <f t="shared" si="4"/>
        <v>19</v>
      </c>
      <c r="P71" s="9" t="str">
        <f t="shared" si="5"/>
        <v>Library-ready</v>
      </c>
      <c r="Q71" s="12" t="s">
        <v>1115</v>
      </c>
    </row>
    <row r="72" spans="1:17" ht="33.75" customHeight="1" x14ac:dyDescent="0.3">
      <c r="A72" s="9" t="s">
        <v>634</v>
      </c>
      <c r="B72" s="12" t="s">
        <v>635</v>
      </c>
      <c r="C72" s="12" t="s">
        <v>59</v>
      </c>
      <c r="D72" s="19" t="s">
        <v>625</v>
      </c>
      <c r="E72" s="25">
        <v>2</v>
      </c>
      <c r="F72" s="25">
        <v>2</v>
      </c>
      <c r="G72" s="25">
        <v>2</v>
      </c>
      <c r="H72" s="25">
        <v>2</v>
      </c>
      <c r="I72" s="25">
        <v>2</v>
      </c>
      <c r="J72" s="25">
        <v>2</v>
      </c>
      <c r="K72" s="25">
        <v>2</v>
      </c>
      <c r="L72" s="25">
        <v>2</v>
      </c>
      <c r="M72" s="25">
        <v>2</v>
      </c>
      <c r="N72" s="25">
        <v>2</v>
      </c>
      <c r="O72" s="9">
        <f t="shared" si="4"/>
        <v>20</v>
      </c>
      <c r="P72" s="9" t="str">
        <f t="shared" si="5"/>
        <v>Library-ready</v>
      </c>
      <c r="Q72" s="12" t="s">
        <v>1116</v>
      </c>
    </row>
    <row r="73" spans="1:17" ht="33.75" customHeight="1" x14ac:dyDescent="0.3">
      <c r="A73" s="9" t="s">
        <v>642</v>
      </c>
      <c r="B73" s="12" t="s">
        <v>643</v>
      </c>
      <c r="C73" s="12" t="s">
        <v>59</v>
      </c>
      <c r="D73" s="19" t="s">
        <v>625</v>
      </c>
      <c r="E73" s="25">
        <v>2</v>
      </c>
      <c r="F73" s="25">
        <v>2</v>
      </c>
      <c r="G73" s="25">
        <v>2</v>
      </c>
      <c r="H73" s="25">
        <v>2</v>
      </c>
      <c r="I73" s="25">
        <v>2</v>
      </c>
      <c r="J73" s="25">
        <v>2</v>
      </c>
      <c r="K73" s="25">
        <v>2</v>
      </c>
      <c r="L73" s="25">
        <v>2</v>
      </c>
      <c r="M73" s="25">
        <v>2</v>
      </c>
      <c r="N73" s="25">
        <v>2</v>
      </c>
      <c r="O73" s="9">
        <f t="shared" si="4"/>
        <v>20</v>
      </c>
      <c r="P73" s="9" t="str">
        <f t="shared" si="5"/>
        <v>Library-ready</v>
      </c>
      <c r="Q73" s="12" t="s">
        <v>1116</v>
      </c>
    </row>
    <row r="74" spans="1:17" ht="33.75" customHeight="1" x14ac:dyDescent="0.3">
      <c r="A74" s="9" t="s">
        <v>650</v>
      </c>
      <c r="B74" s="12" t="s">
        <v>652</v>
      </c>
      <c r="C74" s="12" t="s">
        <v>49</v>
      </c>
      <c r="D74" s="19" t="s">
        <v>625</v>
      </c>
      <c r="E74" s="25">
        <v>2</v>
      </c>
      <c r="F74" s="26">
        <v>1</v>
      </c>
      <c r="G74" s="25">
        <v>2</v>
      </c>
      <c r="H74" s="25">
        <v>2</v>
      </c>
      <c r="I74" s="25">
        <v>2</v>
      </c>
      <c r="J74" s="25">
        <v>2</v>
      </c>
      <c r="K74" s="25">
        <v>2</v>
      </c>
      <c r="L74" s="25">
        <v>2</v>
      </c>
      <c r="M74" s="25">
        <v>2</v>
      </c>
      <c r="N74" s="25">
        <v>2</v>
      </c>
      <c r="O74" s="9">
        <f t="shared" si="4"/>
        <v>19</v>
      </c>
      <c r="P74" s="9" t="str">
        <f t="shared" si="5"/>
        <v>Library-ready</v>
      </c>
      <c r="Q74" s="12" t="s">
        <v>1115</v>
      </c>
    </row>
    <row r="75" spans="1:17" ht="33.75" customHeight="1" x14ac:dyDescent="0.3">
      <c r="A75" s="9" t="s">
        <v>659</v>
      </c>
      <c r="B75" s="12" t="s">
        <v>660</v>
      </c>
      <c r="C75" s="12" t="s">
        <v>59</v>
      </c>
      <c r="D75" s="19" t="s">
        <v>625</v>
      </c>
      <c r="E75" s="25">
        <v>2</v>
      </c>
      <c r="F75" s="25">
        <v>2</v>
      </c>
      <c r="G75" s="25">
        <v>2</v>
      </c>
      <c r="H75" s="25">
        <v>2</v>
      </c>
      <c r="I75" s="25">
        <v>2</v>
      </c>
      <c r="J75" s="25">
        <v>2</v>
      </c>
      <c r="K75" s="25">
        <v>2</v>
      </c>
      <c r="L75" s="25">
        <v>2</v>
      </c>
      <c r="M75" s="25">
        <v>2</v>
      </c>
      <c r="N75" s="25">
        <v>2</v>
      </c>
      <c r="O75" s="9">
        <f t="shared" si="4"/>
        <v>20</v>
      </c>
      <c r="P75" s="9" t="str">
        <f t="shared" si="5"/>
        <v>Library-ready</v>
      </c>
      <c r="Q75" s="12" t="s">
        <v>1116</v>
      </c>
    </row>
    <row r="76" spans="1:17" ht="33.75" customHeight="1" x14ac:dyDescent="0.3">
      <c r="A76" s="9" t="s">
        <v>667</v>
      </c>
      <c r="B76" s="12" t="s">
        <v>668</v>
      </c>
      <c r="C76" s="12" t="s">
        <v>59</v>
      </c>
      <c r="D76" s="19" t="s">
        <v>625</v>
      </c>
      <c r="E76" s="25">
        <v>2</v>
      </c>
      <c r="F76" s="25">
        <v>2</v>
      </c>
      <c r="G76" s="25">
        <v>2</v>
      </c>
      <c r="H76" s="25">
        <v>2</v>
      </c>
      <c r="I76" s="25">
        <v>2</v>
      </c>
      <c r="J76" s="25">
        <v>2</v>
      </c>
      <c r="K76" s="25">
        <v>2</v>
      </c>
      <c r="L76" s="25">
        <v>2</v>
      </c>
      <c r="M76" s="25">
        <v>2</v>
      </c>
      <c r="N76" s="25">
        <v>2</v>
      </c>
      <c r="O76" s="9">
        <f t="shared" si="4"/>
        <v>20</v>
      </c>
      <c r="P76" s="9" t="str">
        <f t="shared" si="5"/>
        <v>Library-ready</v>
      </c>
      <c r="Q76" s="12" t="s">
        <v>1116</v>
      </c>
    </row>
    <row r="77" spans="1:17" ht="33.75" customHeight="1" x14ac:dyDescent="0.3">
      <c r="A77" s="9" t="s">
        <v>675</v>
      </c>
      <c r="B77" s="12" t="s">
        <v>677</v>
      </c>
      <c r="C77" s="12" t="s">
        <v>49</v>
      </c>
      <c r="D77" s="19" t="s">
        <v>625</v>
      </c>
      <c r="E77" s="25">
        <v>2</v>
      </c>
      <c r="F77" s="26">
        <v>1</v>
      </c>
      <c r="G77" s="25">
        <v>2</v>
      </c>
      <c r="H77" s="25">
        <v>2</v>
      </c>
      <c r="I77" s="25">
        <v>2</v>
      </c>
      <c r="J77" s="25">
        <v>2</v>
      </c>
      <c r="K77" s="25">
        <v>2</v>
      </c>
      <c r="L77" s="25">
        <v>2</v>
      </c>
      <c r="M77" s="25">
        <v>2</v>
      </c>
      <c r="N77" s="25">
        <v>2</v>
      </c>
      <c r="O77" s="9">
        <f t="shared" si="4"/>
        <v>19</v>
      </c>
      <c r="P77" s="9" t="str">
        <f t="shared" si="5"/>
        <v>Library-ready</v>
      </c>
      <c r="Q77" s="12" t="s">
        <v>1115</v>
      </c>
    </row>
    <row r="78" spans="1:17" ht="33.75" customHeight="1" x14ac:dyDescent="0.3">
      <c r="A78" s="9" t="s">
        <v>684</v>
      </c>
      <c r="B78" s="12" t="s">
        <v>685</v>
      </c>
      <c r="C78" s="12" t="s">
        <v>59</v>
      </c>
      <c r="D78" s="19" t="s">
        <v>625</v>
      </c>
      <c r="E78" s="25">
        <v>2</v>
      </c>
      <c r="F78" s="25">
        <v>2</v>
      </c>
      <c r="G78" s="25">
        <v>2</v>
      </c>
      <c r="H78" s="25">
        <v>2</v>
      </c>
      <c r="I78" s="25">
        <v>2</v>
      </c>
      <c r="J78" s="25">
        <v>2</v>
      </c>
      <c r="K78" s="25">
        <v>2</v>
      </c>
      <c r="L78" s="25">
        <v>2</v>
      </c>
      <c r="M78" s="25">
        <v>2</v>
      </c>
      <c r="N78" s="25">
        <v>2</v>
      </c>
      <c r="O78" s="9">
        <f t="shared" si="4"/>
        <v>20</v>
      </c>
      <c r="P78" s="9" t="str">
        <f t="shared" si="5"/>
        <v>Library-ready</v>
      </c>
      <c r="Q78" s="12" t="s">
        <v>1116</v>
      </c>
    </row>
    <row r="79" spans="1:17" ht="33.75" customHeight="1" x14ac:dyDescent="0.3">
      <c r="A79" s="9" t="s">
        <v>692</v>
      </c>
      <c r="B79" s="12" t="s">
        <v>693</v>
      </c>
      <c r="C79" s="12" t="s">
        <v>59</v>
      </c>
      <c r="D79" s="19" t="s">
        <v>625</v>
      </c>
      <c r="E79" s="25">
        <v>2</v>
      </c>
      <c r="F79" s="25">
        <v>2</v>
      </c>
      <c r="G79" s="25">
        <v>2</v>
      </c>
      <c r="H79" s="25">
        <v>2</v>
      </c>
      <c r="I79" s="25">
        <v>2</v>
      </c>
      <c r="J79" s="25">
        <v>2</v>
      </c>
      <c r="K79" s="25">
        <v>2</v>
      </c>
      <c r="L79" s="25">
        <v>2</v>
      </c>
      <c r="M79" s="25">
        <v>2</v>
      </c>
      <c r="N79" s="25">
        <v>2</v>
      </c>
      <c r="O79" s="9">
        <f t="shared" si="4"/>
        <v>20</v>
      </c>
      <c r="P79" s="9" t="str">
        <f t="shared" si="5"/>
        <v>Library-ready</v>
      </c>
      <c r="Q79" s="12" t="s">
        <v>1116</v>
      </c>
    </row>
    <row r="80" spans="1:17" ht="33.75" customHeight="1" x14ac:dyDescent="0.3">
      <c r="A80" s="9" t="s">
        <v>700</v>
      </c>
      <c r="B80" s="12" t="s">
        <v>702</v>
      </c>
      <c r="C80" s="12" t="s">
        <v>49</v>
      </c>
      <c r="D80" s="19" t="s">
        <v>625</v>
      </c>
      <c r="E80" s="25">
        <v>2</v>
      </c>
      <c r="F80" s="26">
        <v>1</v>
      </c>
      <c r="G80" s="25">
        <v>2</v>
      </c>
      <c r="H80" s="25">
        <v>2</v>
      </c>
      <c r="I80" s="25">
        <v>2</v>
      </c>
      <c r="J80" s="25">
        <v>2</v>
      </c>
      <c r="K80" s="25">
        <v>2</v>
      </c>
      <c r="L80" s="25">
        <v>2</v>
      </c>
      <c r="M80" s="25">
        <v>2</v>
      </c>
      <c r="N80" s="25">
        <v>2</v>
      </c>
      <c r="O80" s="9">
        <f t="shared" si="4"/>
        <v>19</v>
      </c>
      <c r="P80" s="9" t="str">
        <f t="shared" si="5"/>
        <v>Library-ready</v>
      </c>
      <c r="Q80" s="12" t="s">
        <v>1115</v>
      </c>
    </row>
    <row r="81" spans="1:17" ht="33.75" customHeight="1" x14ac:dyDescent="0.3">
      <c r="A81" s="9" t="s">
        <v>709</v>
      </c>
      <c r="B81" s="12" t="s">
        <v>710</v>
      </c>
      <c r="C81" s="12" t="s">
        <v>59</v>
      </c>
      <c r="D81" s="19" t="s">
        <v>625</v>
      </c>
      <c r="E81" s="25">
        <v>2</v>
      </c>
      <c r="F81" s="25">
        <v>2</v>
      </c>
      <c r="G81" s="25">
        <v>2</v>
      </c>
      <c r="H81" s="25">
        <v>2</v>
      </c>
      <c r="I81" s="25">
        <v>2</v>
      </c>
      <c r="J81" s="25">
        <v>2</v>
      </c>
      <c r="K81" s="25">
        <v>2</v>
      </c>
      <c r="L81" s="25">
        <v>2</v>
      </c>
      <c r="M81" s="25">
        <v>2</v>
      </c>
      <c r="N81" s="25">
        <v>2</v>
      </c>
      <c r="O81" s="9">
        <f t="shared" si="4"/>
        <v>20</v>
      </c>
      <c r="P81" s="9" t="str">
        <f t="shared" si="5"/>
        <v>Library-ready</v>
      </c>
      <c r="Q81" s="12" t="s">
        <v>1116</v>
      </c>
    </row>
    <row r="82" spans="1:17" ht="33.75" customHeight="1" x14ac:dyDescent="0.3">
      <c r="A82" s="9" t="s">
        <v>717</v>
      </c>
      <c r="B82" s="12" t="s">
        <v>718</v>
      </c>
      <c r="C82" s="12" t="s">
        <v>59</v>
      </c>
      <c r="D82" s="19" t="s">
        <v>625</v>
      </c>
      <c r="E82" s="25">
        <v>2</v>
      </c>
      <c r="F82" s="25">
        <v>2</v>
      </c>
      <c r="G82" s="25">
        <v>2</v>
      </c>
      <c r="H82" s="25">
        <v>2</v>
      </c>
      <c r="I82" s="25">
        <v>2</v>
      </c>
      <c r="J82" s="25">
        <v>2</v>
      </c>
      <c r="K82" s="25">
        <v>2</v>
      </c>
      <c r="L82" s="25">
        <v>2</v>
      </c>
      <c r="M82" s="25">
        <v>2</v>
      </c>
      <c r="N82" s="25">
        <v>2</v>
      </c>
      <c r="O82" s="9">
        <f t="shared" si="4"/>
        <v>20</v>
      </c>
      <c r="P82" s="9" t="str">
        <f t="shared" si="5"/>
        <v>Library-ready</v>
      </c>
      <c r="Q82" s="12" t="s">
        <v>1116</v>
      </c>
    </row>
    <row r="83" spans="1:17" ht="33.75" customHeight="1" x14ac:dyDescent="0.3">
      <c r="A83" s="9" t="s">
        <v>725</v>
      </c>
      <c r="B83" s="12" t="s">
        <v>727</v>
      </c>
      <c r="C83" s="12" t="s">
        <v>49</v>
      </c>
      <c r="D83" s="19" t="s">
        <v>625</v>
      </c>
      <c r="E83" s="25">
        <v>2</v>
      </c>
      <c r="F83" s="26">
        <v>1</v>
      </c>
      <c r="G83" s="25">
        <v>2</v>
      </c>
      <c r="H83" s="25">
        <v>2</v>
      </c>
      <c r="I83" s="25">
        <v>2</v>
      </c>
      <c r="J83" s="25">
        <v>2</v>
      </c>
      <c r="K83" s="25">
        <v>2</v>
      </c>
      <c r="L83" s="25">
        <v>2</v>
      </c>
      <c r="M83" s="25">
        <v>2</v>
      </c>
      <c r="N83" s="25">
        <v>2</v>
      </c>
      <c r="O83" s="9">
        <f t="shared" si="4"/>
        <v>19</v>
      </c>
      <c r="P83" s="9" t="str">
        <f t="shared" si="5"/>
        <v>Library-ready</v>
      </c>
      <c r="Q83" s="12" t="s">
        <v>1115</v>
      </c>
    </row>
    <row r="84" spans="1:17" ht="33.75" customHeight="1" x14ac:dyDescent="0.3">
      <c r="A84" s="9" t="s">
        <v>734</v>
      </c>
      <c r="B84" s="12" t="s">
        <v>735</v>
      </c>
      <c r="C84" s="12" t="s">
        <v>59</v>
      </c>
      <c r="D84" s="19" t="s">
        <v>625</v>
      </c>
      <c r="E84" s="25">
        <v>2</v>
      </c>
      <c r="F84" s="25">
        <v>2</v>
      </c>
      <c r="G84" s="25">
        <v>2</v>
      </c>
      <c r="H84" s="25">
        <v>2</v>
      </c>
      <c r="I84" s="25">
        <v>2</v>
      </c>
      <c r="J84" s="25">
        <v>2</v>
      </c>
      <c r="K84" s="25">
        <v>2</v>
      </c>
      <c r="L84" s="25">
        <v>2</v>
      </c>
      <c r="M84" s="25">
        <v>2</v>
      </c>
      <c r="N84" s="25">
        <v>2</v>
      </c>
      <c r="O84" s="9">
        <f t="shared" si="4"/>
        <v>20</v>
      </c>
      <c r="P84" s="9" t="str">
        <f t="shared" si="5"/>
        <v>Library-ready</v>
      </c>
      <c r="Q84" s="12" t="s">
        <v>1116</v>
      </c>
    </row>
    <row r="85" spans="1:17" ht="33.75" customHeight="1" x14ac:dyDescent="0.3">
      <c r="A85" s="9" t="s">
        <v>742</v>
      </c>
      <c r="B85" s="12" t="s">
        <v>743</v>
      </c>
      <c r="C85" s="12" t="s">
        <v>59</v>
      </c>
      <c r="D85" s="19" t="s">
        <v>625</v>
      </c>
      <c r="E85" s="25">
        <v>2</v>
      </c>
      <c r="F85" s="25">
        <v>2</v>
      </c>
      <c r="G85" s="25">
        <v>2</v>
      </c>
      <c r="H85" s="25">
        <v>2</v>
      </c>
      <c r="I85" s="25">
        <v>2</v>
      </c>
      <c r="J85" s="25">
        <v>2</v>
      </c>
      <c r="K85" s="25">
        <v>2</v>
      </c>
      <c r="L85" s="25">
        <v>2</v>
      </c>
      <c r="M85" s="25">
        <v>2</v>
      </c>
      <c r="N85" s="25">
        <v>2</v>
      </c>
      <c r="O85" s="9">
        <f t="shared" si="4"/>
        <v>20</v>
      </c>
      <c r="P85" s="9" t="str">
        <f t="shared" si="5"/>
        <v>Library-ready</v>
      </c>
      <c r="Q85" s="12" t="s">
        <v>1116</v>
      </c>
    </row>
    <row r="86" spans="1:17" ht="33.75" customHeight="1" x14ac:dyDescent="0.3">
      <c r="A86" s="9" t="s">
        <v>750</v>
      </c>
      <c r="B86" s="12" t="s">
        <v>752</v>
      </c>
      <c r="C86" s="12" t="s">
        <v>49</v>
      </c>
      <c r="D86" s="19" t="s">
        <v>625</v>
      </c>
      <c r="E86" s="25">
        <v>2</v>
      </c>
      <c r="F86" s="26">
        <v>1</v>
      </c>
      <c r="G86" s="25">
        <v>2</v>
      </c>
      <c r="H86" s="25">
        <v>2</v>
      </c>
      <c r="I86" s="25">
        <v>2</v>
      </c>
      <c r="J86" s="25">
        <v>2</v>
      </c>
      <c r="K86" s="25">
        <v>2</v>
      </c>
      <c r="L86" s="25">
        <v>2</v>
      </c>
      <c r="M86" s="25">
        <v>2</v>
      </c>
      <c r="N86" s="25">
        <v>2</v>
      </c>
      <c r="O86" s="9">
        <f t="shared" si="4"/>
        <v>19</v>
      </c>
      <c r="P86" s="9" t="str">
        <f t="shared" si="5"/>
        <v>Library-ready</v>
      </c>
      <c r="Q86" s="12" t="s">
        <v>1115</v>
      </c>
    </row>
    <row r="87" spans="1:17" ht="33.75" customHeight="1" x14ac:dyDescent="0.3">
      <c r="A87" s="9" t="s">
        <v>759</v>
      </c>
      <c r="B87" s="12" t="s">
        <v>760</v>
      </c>
      <c r="C87" s="12" t="s">
        <v>59</v>
      </c>
      <c r="D87" s="19" t="s">
        <v>625</v>
      </c>
      <c r="E87" s="25">
        <v>2</v>
      </c>
      <c r="F87" s="25">
        <v>2</v>
      </c>
      <c r="G87" s="25">
        <v>2</v>
      </c>
      <c r="H87" s="25">
        <v>2</v>
      </c>
      <c r="I87" s="25">
        <v>2</v>
      </c>
      <c r="J87" s="25">
        <v>2</v>
      </c>
      <c r="K87" s="25">
        <v>2</v>
      </c>
      <c r="L87" s="25">
        <v>2</v>
      </c>
      <c r="M87" s="25">
        <v>2</v>
      </c>
      <c r="N87" s="25">
        <v>2</v>
      </c>
      <c r="O87" s="9">
        <f t="shared" si="4"/>
        <v>20</v>
      </c>
      <c r="P87" s="9" t="str">
        <f t="shared" si="5"/>
        <v>Library-ready</v>
      </c>
      <c r="Q87" s="12" t="s">
        <v>1116</v>
      </c>
    </row>
    <row r="88" spans="1:17" ht="33.75" customHeight="1" x14ac:dyDescent="0.3">
      <c r="A88" s="9" t="s">
        <v>767</v>
      </c>
      <c r="B88" s="12" t="s">
        <v>768</v>
      </c>
      <c r="C88" s="12" t="s">
        <v>59</v>
      </c>
      <c r="D88" s="19" t="s">
        <v>625</v>
      </c>
      <c r="E88" s="25">
        <v>2</v>
      </c>
      <c r="F88" s="25">
        <v>2</v>
      </c>
      <c r="G88" s="25">
        <v>2</v>
      </c>
      <c r="H88" s="25">
        <v>2</v>
      </c>
      <c r="I88" s="25">
        <v>2</v>
      </c>
      <c r="J88" s="25">
        <v>2</v>
      </c>
      <c r="K88" s="25">
        <v>2</v>
      </c>
      <c r="L88" s="25">
        <v>2</v>
      </c>
      <c r="M88" s="25">
        <v>2</v>
      </c>
      <c r="N88" s="25">
        <v>2</v>
      </c>
      <c r="O88" s="9">
        <f t="shared" si="4"/>
        <v>20</v>
      </c>
      <c r="P88" s="9" t="str">
        <f t="shared" si="5"/>
        <v>Library-ready</v>
      </c>
      <c r="Q88" s="12" t="s">
        <v>1116</v>
      </c>
    </row>
    <row r="89" spans="1:17" ht="33.75" customHeight="1" x14ac:dyDescent="0.3">
      <c r="A89" s="9" t="s">
        <v>775</v>
      </c>
      <c r="B89" s="12" t="s">
        <v>778</v>
      </c>
      <c r="C89" s="12" t="s">
        <v>49</v>
      </c>
      <c r="D89" s="21" t="s">
        <v>776</v>
      </c>
      <c r="E89" s="25">
        <v>2</v>
      </c>
      <c r="F89" s="26">
        <v>1</v>
      </c>
      <c r="G89" s="25">
        <v>2</v>
      </c>
      <c r="H89" s="25">
        <v>2</v>
      </c>
      <c r="I89" s="25">
        <v>2</v>
      </c>
      <c r="J89" s="25">
        <v>2</v>
      </c>
      <c r="K89" s="25">
        <v>2</v>
      </c>
      <c r="L89" s="25">
        <v>2</v>
      </c>
      <c r="M89" s="25">
        <v>2</v>
      </c>
      <c r="N89" s="25">
        <v>2</v>
      </c>
      <c r="O89" s="9">
        <f t="shared" si="4"/>
        <v>19</v>
      </c>
      <c r="P89" s="9" t="str">
        <f t="shared" si="5"/>
        <v>Library-ready</v>
      </c>
      <c r="Q89" s="12" t="s">
        <v>1115</v>
      </c>
    </row>
    <row r="90" spans="1:17" ht="33.75" customHeight="1" x14ac:dyDescent="0.3">
      <c r="A90" s="9" t="s">
        <v>785</v>
      </c>
      <c r="B90" s="12" t="s">
        <v>786</v>
      </c>
      <c r="C90" s="12" t="s">
        <v>59</v>
      </c>
      <c r="D90" s="21" t="s">
        <v>776</v>
      </c>
      <c r="E90" s="25">
        <v>2</v>
      </c>
      <c r="F90" s="25">
        <v>2</v>
      </c>
      <c r="G90" s="25">
        <v>2</v>
      </c>
      <c r="H90" s="25">
        <v>2</v>
      </c>
      <c r="I90" s="25">
        <v>2</v>
      </c>
      <c r="J90" s="25">
        <v>2</v>
      </c>
      <c r="K90" s="25">
        <v>2</v>
      </c>
      <c r="L90" s="25">
        <v>2</v>
      </c>
      <c r="M90" s="25">
        <v>2</v>
      </c>
      <c r="N90" s="25">
        <v>2</v>
      </c>
      <c r="O90" s="9">
        <f t="shared" si="4"/>
        <v>20</v>
      </c>
      <c r="P90" s="9" t="str">
        <f t="shared" si="5"/>
        <v>Library-ready</v>
      </c>
      <c r="Q90" s="12" t="s">
        <v>1116</v>
      </c>
    </row>
    <row r="91" spans="1:17" ht="33.75" customHeight="1" x14ac:dyDescent="0.3">
      <c r="A91" s="9" t="s">
        <v>793</v>
      </c>
      <c r="B91" s="12" t="s">
        <v>794</v>
      </c>
      <c r="C91" s="12" t="s">
        <v>59</v>
      </c>
      <c r="D91" s="21" t="s">
        <v>776</v>
      </c>
      <c r="E91" s="25">
        <v>2</v>
      </c>
      <c r="F91" s="25">
        <v>2</v>
      </c>
      <c r="G91" s="25">
        <v>2</v>
      </c>
      <c r="H91" s="25">
        <v>2</v>
      </c>
      <c r="I91" s="25">
        <v>2</v>
      </c>
      <c r="J91" s="25">
        <v>2</v>
      </c>
      <c r="K91" s="25">
        <v>2</v>
      </c>
      <c r="L91" s="25">
        <v>2</v>
      </c>
      <c r="M91" s="25">
        <v>2</v>
      </c>
      <c r="N91" s="25">
        <v>2</v>
      </c>
      <c r="O91" s="9">
        <f t="shared" si="4"/>
        <v>20</v>
      </c>
      <c r="P91" s="9" t="str">
        <f t="shared" si="5"/>
        <v>Library-ready</v>
      </c>
      <c r="Q91" s="12" t="s">
        <v>1116</v>
      </c>
    </row>
    <row r="92" spans="1:17" ht="33.75" customHeight="1" x14ac:dyDescent="0.3">
      <c r="A92" s="9" t="s">
        <v>801</v>
      </c>
      <c r="B92" s="12" t="s">
        <v>803</v>
      </c>
      <c r="C92" s="12" t="s">
        <v>49</v>
      </c>
      <c r="D92" s="21" t="s">
        <v>776</v>
      </c>
      <c r="E92" s="25">
        <v>2</v>
      </c>
      <c r="F92" s="26">
        <v>1</v>
      </c>
      <c r="G92" s="25">
        <v>2</v>
      </c>
      <c r="H92" s="25">
        <v>2</v>
      </c>
      <c r="I92" s="25">
        <v>2</v>
      </c>
      <c r="J92" s="25">
        <v>2</v>
      </c>
      <c r="K92" s="25">
        <v>2</v>
      </c>
      <c r="L92" s="25">
        <v>2</v>
      </c>
      <c r="M92" s="25">
        <v>2</v>
      </c>
      <c r="N92" s="25">
        <v>2</v>
      </c>
      <c r="O92" s="9">
        <f t="shared" si="4"/>
        <v>19</v>
      </c>
      <c r="P92" s="9" t="str">
        <f t="shared" si="5"/>
        <v>Library-ready</v>
      </c>
      <c r="Q92" s="12" t="s">
        <v>1115</v>
      </c>
    </row>
    <row r="93" spans="1:17" ht="33.75" customHeight="1" x14ac:dyDescent="0.3">
      <c r="A93" s="9" t="s">
        <v>810</v>
      </c>
      <c r="B93" s="12" t="s">
        <v>811</v>
      </c>
      <c r="C93" s="12" t="s">
        <v>59</v>
      </c>
      <c r="D93" s="21" t="s">
        <v>776</v>
      </c>
      <c r="E93" s="25">
        <v>2</v>
      </c>
      <c r="F93" s="25">
        <v>2</v>
      </c>
      <c r="G93" s="25">
        <v>2</v>
      </c>
      <c r="H93" s="25">
        <v>2</v>
      </c>
      <c r="I93" s="25">
        <v>2</v>
      </c>
      <c r="J93" s="25">
        <v>2</v>
      </c>
      <c r="K93" s="25">
        <v>2</v>
      </c>
      <c r="L93" s="25">
        <v>2</v>
      </c>
      <c r="M93" s="25">
        <v>2</v>
      </c>
      <c r="N93" s="25">
        <v>2</v>
      </c>
      <c r="O93" s="9">
        <f t="shared" si="4"/>
        <v>20</v>
      </c>
      <c r="P93" s="9" t="str">
        <f t="shared" si="5"/>
        <v>Library-ready</v>
      </c>
      <c r="Q93" s="12" t="s">
        <v>1116</v>
      </c>
    </row>
    <row r="94" spans="1:17" ht="33.75" customHeight="1" x14ac:dyDescent="0.3">
      <c r="A94" s="9" t="s">
        <v>818</v>
      </c>
      <c r="B94" s="12" t="s">
        <v>819</v>
      </c>
      <c r="C94" s="12" t="s">
        <v>59</v>
      </c>
      <c r="D94" s="21" t="s">
        <v>776</v>
      </c>
      <c r="E94" s="25">
        <v>2</v>
      </c>
      <c r="F94" s="25">
        <v>2</v>
      </c>
      <c r="G94" s="25">
        <v>2</v>
      </c>
      <c r="H94" s="25">
        <v>2</v>
      </c>
      <c r="I94" s="25">
        <v>2</v>
      </c>
      <c r="J94" s="25">
        <v>2</v>
      </c>
      <c r="K94" s="25">
        <v>2</v>
      </c>
      <c r="L94" s="25">
        <v>2</v>
      </c>
      <c r="M94" s="25">
        <v>2</v>
      </c>
      <c r="N94" s="25">
        <v>2</v>
      </c>
      <c r="O94" s="9">
        <f t="shared" si="4"/>
        <v>20</v>
      </c>
      <c r="P94" s="9" t="str">
        <f t="shared" si="5"/>
        <v>Library-ready</v>
      </c>
      <c r="Q94" s="12" t="s">
        <v>1116</v>
      </c>
    </row>
    <row r="95" spans="1:17" ht="33.75" customHeight="1" x14ac:dyDescent="0.3">
      <c r="A95" s="9" t="s">
        <v>826</v>
      </c>
      <c r="B95" s="12" t="s">
        <v>828</v>
      </c>
      <c r="C95" s="12" t="s">
        <v>49</v>
      </c>
      <c r="D95" s="21" t="s">
        <v>776</v>
      </c>
      <c r="E95" s="25">
        <v>2</v>
      </c>
      <c r="F95" s="26">
        <v>1</v>
      </c>
      <c r="G95" s="25">
        <v>2</v>
      </c>
      <c r="H95" s="25">
        <v>2</v>
      </c>
      <c r="I95" s="25">
        <v>2</v>
      </c>
      <c r="J95" s="25">
        <v>2</v>
      </c>
      <c r="K95" s="25">
        <v>2</v>
      </c>
      <c r="L95" s="25">
        <v>2</v>
      </c>
      <c r="M95" s="25">
        <v>2</v>
      </c>
      <c r="N95" s="25">
        <v>2</v>
      </c>
      <c r="O95" s="9">
        <f t="shared" si="4"/>
        <v>19</v>
      </c>
      <c r="P95" s="9" t="str">
        <f t="shared" si="5"/>
        <v>Library-ready</v>
      </c>
      <c r="Q95" s="12" t="s">
        <v>1115</v>
      </c>
    </row>
    <row r="96" spans="1:17" ht="33.75" customHeight="1" x14ac:dyDescent="0.3">
      <c r="A96" s="9" t="s">
        <v>835</v>
      </c>
      <c r="B96" s="12" t="s">
        <v>836</v>
      </c>
      <c r="C96" s="12" t="s">
        <v>59</v>
      </c>
      <c r="D96" s="21" t="s">
        <v>776</v>
      </c>
      <c r="E96" s="25">
        <v>2</v>
      </c>
      <c r="F96" s="25">
        <v>2</v>
      </c>
      <c r="G96" s="25">
        <v>2</v>
      </c>
      <c r="H96" s="25">
        <v>2</v>
      </c>
      <c r="I96" s="25">
        <v>2</v>
      </c>
      <c r="J96" s="25">
        <v>2</v>
      </c>
      <c r="K96" s="25">
        <v>2</v>
      </c>
      <c r="L96" s="25">
        <v>2</v>
      </c>
      <c r="M96" s="25">
        <v>2</v>
      </c>
      <c r="N96" s="25">
        <v>2</v>
      </c>
      <c r="O96" s="9">
        <f t="shared" si="4"/>
        <v>20</v>
      </c>
      <c r="P96" s="9" t="str">
        <f t="shared" si="5"/>
        <v>Library-ready</v>
      </c>
      <c r="Q96" s="12" t="s">
        <v>1116</v>
      </c>
    </row>
    <row r="97" spans="1:17" ht="33.75" customHeight="1" x14ac:dyDescent="0.3">
      <c r="A97" s="9" t="s">
        <v>843</v>
      </c>
      <c r="B97" s="12" t="s">
        <v>844</v>
      </c>
      <c r="C97" s="12" t="s">
        <v>59</v>
      </c>
      <c r="D97" s="21" t="s">
        <v>776</v>
      </c>
      <c r="E97" s="25">
        <v>2</v>
      </c>
      <c r="F97" s="25">
        <v>2</v>
      </c>
      <c r="G97" s="25">
        <v>2</v>
      </c>
      <c r="H97" s="25">
        <v>2</v>
      </c>
      <c r="I97" s="25">
        <v>2</v>
      </c>
      <c r="J97" s="25">
        <v>2</v>
      </c>
      <c r="K97" s="25">
        <v>2</v>
      </c>
      <c r="L97" s="25">
        <v>2</v>
      </c>
      <c r="M97" s="25">
        <v>2</v>
      </c>
      <c r="N97" s="25">
        <v>2</v>
      </c>
      <c r="O97" s="9">
        <f t="shared" si="4"/>
        <v>20</v>
      </c>
      <c r="P97" s="9" t="str">
        <f t="shared" si="5"/>
        <v>Library-ready</v>
      </c>
      <c r="Q97" s="12" t="s">
        <v>1116</v>
      </c>
    </row>
    <row r="98" spans="1:17" ht="33.75" customHeight="1" x14ac:dyDescent="0.3">
      <c r="A98" s="9" t="s">
        <v>851</v>
      </c>
      <c r="B98" s="12" t="s">
        <v>853</v>
      </c>
      <c r="C98" s="12" t="s">
        <v>49</v>
      </c>
      <c r="D98" s="21" t="s">
        <v>776</v>
      </c>
      <c r="E98" s="25">
        <v>2</v>
      </c>
      <c r="F98" s="26">
        <v>1</v>
      </c>
      <c r="G98" s="25">
        <v>2</v>
      </c>
      <c r="H98" s="25">
        <v>2</v>
      </c>
      <c r="I98" s="25">
        <v>2</v>
      </c>
      <c r="J98" s="25">
        <v>2</v>
      </c>
      <c r="K98" s="25">
        <v>2</v>
      </c>
      <c r="L98" s="25">
        <v>2</v>
      </c>
      <c r="M98" s="25">
        <v>2</v>
      </c>
      <c r="N98" s="25">
        <v>2</v>
      </c>
      <c r="O98" s="9">
        <f t="shared" ref="O98:O129" si="6">SUM(E98:N98)</f>
        <v>19</v>
      </c>
      <c r="P98" s="9" t="str">
        <f t="shared" ref="P98:P129" si="7">IF(O98&gt;=17,"Library-ready",IF(O98&gt;=12,"Refine first","Rework"))</f>
        <v>Library-ready</v>
      </c>
      <c r="Q98" s="12" t="s">
        <v>1115</v>
      </c>
    </row>
    <row r="99" spans="1:17" ht="33.75" customHeight="1" x14ac:dyDescent="0.3">
      <c r="A99" s="9" t="s">
        <v>860</v>
      </c>
      <c r="B99" s="12" t="s">
        <v>861</v>
      </c>
      <c r="C99" s="12" t="s">
        <v>59</v>
      </c>
      <c r="D99" s="21" t="s">
        <v>776</v>
      </c>
      <c r="E99" s="25">
        <v>2</v>
      </c>
      <c r="F99" s="25">
        <v>2</v>
      </c>
      <c r="G99" s="25">
        <v>2</v>
      </c>
      <c r="H99" s="25">
        <v>2</v>
      </c>
      <c r="I99" s="25">
        <v>2</v>
      </c>
      <c r="J99" s="25">
        <v>2</v>
      </c>
      <c r="K99" s="25">
        <v>2</v>
      </c>
      <c r="L99" s="25">
        <v>2</v>
      </c>
      <c r="M99" s="25">
        <v>2</v>
      </c>
      <c r="N99" s="25">
        <v>2</v>
      </c>
      <c r="O99" s="9">
        <f t="shared" si="6"/>
        <v>20</v>
      </c>
      <c r="P99" s="9" t="str">
        <f t="shared" si="7"/>
        <v>Library-ready</v>
      </c>
      <c r="Q99" s="12" t="s">
        <v>1116</v>
      </c>
    </row>
    <row r="100" spans="1:17" ht="33.75" customHeight="1" x14ac:dyDescent="0.3">
      <c r="A100" s="9" t="s">
        <v>868</v>
      </c>
      <c r="B100" s="12" t="s">
        <v>869</v>
      </c>
      <c r="C100" s="12" t="s">
        <v>59</v>
      </c>
      <c r="D100" s="21" t="s">
        <v>776</v>
      </c>
      <c r="E100" s="25">
        <v>2</v>
      </c>
      <c r="F100" s="25">
        <v>2</v>
      </c>
      <c r="G100" s="25">
        <v>2</v>
      </c>
      <c r="H100" s="25">
        <v>2</v>
      </c>
      <c r="I100" s="25">
        <v>2</v>
      </c>
      <c r="J100" s="25">
        <v>2</v>
      </c>
      <c r="K100" s="25">
        <v>2</v>
      </c>
      <c r="L100" s="25">
        <v>2</v>
      </c>
      <c r="M100" s="25">
        <v>2</v>
      </c>
      <c r="N100" s="25">
        <v>2</v>
      </c>
      <c r="O100" s="9">
        <f t="shared" si="6"/>
        <v>20</v>
      </c>
      <c r="P100" s="9" t="str">
        <f t="shared" si="7"/>
        <v>Library-ready</v>
      </c>
      <c r="Q100" s="12" t="s">
        <v>1116</v>
      </c>
    </row>
    <row r="101" spans="1:17" ht="33.75" customHeight="1" x14ac:dyDescent="0.3">
      <c r="A101" s="9" t="s">
        <v>876</v>
      </c>
      <c r="B101" s="12" t="s">
        <v>878</v>
      </c>
      <c r="C101" s="12" t="s">
        <v>49</v>
      </c>
      <c r="D101" s="21" t="s">
        <v>776</v>
      </c>
      <c r="E101" s="25">
        <v>2</v>
      </c>
      <c r="F101" s="26">
        <v>1</v>
      </c>
      <c r="G101" s="25">
        <v>2</v>
      </c>
      <c r="H101" s="25">
        <v>2</v>
      </c>
      <c r="I101" s="25">
        <v>2</v>
      </c>
      <c r="J101" s="25">
        <v>2</v>
      </c>
      <c r="K101" s="25">
        <v>2</v>
      </c>
      <c r="L101" s="25">
        <v>2</v>
      </c>
      <c r="M101" s="25">
        <v>2</v>
      </c>
      <c r="N101" s="25">
        <v>2</v>
      </c>
      <c r="O101" s="9">
        <f t="shared" si="6"/>
        <v>19</v>
      </c>
      <c r="P101" s="9" t="str">
        <f t="shared" si="7"/>
        <v>Library-ready</v>
      </c>
      <c r="Q101" s="12" t="s">
        <v>1115</v>
      </c>
    </row>
    <row r="102" spans="1:17" ht="33.75" customHeight="1" x14ac:dyDescent="0.3">
      <c r="A102" s="9" t="s">
        <v>885</v>
      </c>
      <c r="B102" s="12" t="s">
        <v>886</v>
      </c>
      <c r="C102" s="12" t="s">
        <v>59</v>
      </c>
      <c r="D102" s="21" t="s">
        <v>776</v>
      </c>
      <c r="E102" s="25">
        <v>2</v>
      </c>
      <c r="F102" s="25">
        <v>2</v>
      </c>
      <c r="G102" s="25">
        <v>2</v>
      </c>
      <c r="H102" s="25">
        <v>2</v>
      </c>
      <c r="I102" s="25">
        <v>2</v>
      </c>
      <c r="J102" s="25">
        <v>2</v>
      </c>
      <c r="K102" s="25">
        <v>2</v>
      </c>
      <c r="L102" s="25">
        <v>2</v>
      </c>
      <c r="M102" s="25">
        <v>2</v>
      </c>
      <c r="N102" s="25">
        <v>2</v>
      </c>
      <c r="O102" s="9">
        <f t="shared" si="6"/>
        <v>20</v>
      </c>
      <c r="P102" s="9" t="str">
        <f t="shared" si="7"/>
        <v>Library-ready</v>
      </c>
      <c r="Q102" s="12" t="s">
        <v>1116</v>
      </c>
    </row>
    <row r="103" spans="1:17" ht="33.75" customHeight="1" x14ac:dyDescent="0.3">
      <c r="A103" s="9" t="s">
        <v>893</v>
      </c>
      <c r="B103" s="12" t="s">
        <v>894</v>
      </c>
      <c r="C103" s="12" t="s">
        <v>59</v>
      </c>
      <c r="D103" s="21" t="s">
        <v>776</v>
      </c>
      <c r="E103" s="25">
        <v>2</v>
      </c>
      <c r="F103" s="25">
        <v>2</v>
      </c>
      <c r="G103" s="25">
        <v>2</v>
      </c>
      <c r="H103" s="25">
        <v>2</v>
      </c>
      <c r="I103" s="25">
        <v>2</v>
      </c>
      <c r="J103" s="25">
        <v>2</v>
      </c>
      <c r="K103" s="25">
        <v>2</v>
      </c>
      <c r="L103" s="25">
        <v>2</v>
      </c>
      <c r="M103" s="25">
        <v>2</v>
      </c>
      <c r="N103" s="25">
        <v>2</v>
      </c>
      <c r="O103" s="9">
        <f t="shared" si="6"/>
        <v>20</v>
      </c>
      <c r="P103" s="9" t="str">
        <f t="shared" si="7"/>
        <v>Library-ready</v>
      </c>
      <c r="Q103" s="12" t="s">
        <v>1116</v>
      </c>
    </row>
    <row r="104" spans="1:17" ht="33.75" customHeight="1" x14ac:dyDescent="0.3">
      <c r="A104" s="9" t="s">
        <v>901</v>
      </c>
      <c r="B104" s="12" t="s">
        <v>903</v>
      </c>
      <c r="C104" s="12" t="s">
        <v>49</v>
      </c>
      <c r="D104" s="21" t="s">
        <v>776</v>
      </c>
      <c r="E104" s="25">
        <v>2</v>
      </c>
      <c r="F104" s="26">
        <v>1</v>
      </c>
      <c r="G104" s="25">
        <v>2</v>
      </c>
      <c r="H104" s="25">
        <v>2</v>
      </c>
      <c r="I104" s="25">
        <v>2</v>
      </c>
      <c r="J104" s="25">
        <v>2</v>
      </c>
      <c r="K104" s="25">
        <v>2</v>
      </c>
      <c r="L104" s="25">
        <v>2</v>
      </c>
      <c r="M104" s="25">
        <v>2</v>
      </c>
      <c r="N104" s="25">
        <v>2</v>
      </c>
      <c r="O104" s="9">
        <f t="shared" si="6"/>
        <v>19</v>
      </c>
      <c r="P104" s="9" t="str">
        <f t="shared" si="7"/>
        <v>Library-ready</v>
      </c>
      <c r="Q104" s="12" t="s">
        <v>1115</v>
      </c>
    </row>
    <row r="105" spans="1:17" ht="33.75" customHeight="1" x14ac:dyDescent="0.3">
      <c r="A105" s="9" t="s">
        <v>910</v>
      </c>
      <c r="B105" s="12" t="s">
        <v>911</v>
      </c>
      <c r="C105" s="12" t="s">
        <v>59</v>
      </c>
      <c r="D105" s="21" t="s">
        <v>776</v>
      </c>
      <c r="E105" s="25">
        <v>2</v>
      </c>
      <c r="F105" s="25">
        <v>2</v>
      </c>
      <c r="G105" s="25">
        <v>2</v>
      </c>
      <c r="H105" s="25">
        <v>2</v>
      </c>
      <c r="I105" s="25">
        <v>2</v>
      </c>
      <c r="J105" s="25">
        <v>2</v>
      </c>
      <c r="K105" s="25">
        <v>2</v>
      </c>
      <c r="L105" s="25">
        <v>2</v>
      </c>
      <c r="M105" s="25">
        <v>2</v>
      </c>
      <c r="N105" s="25">
        <v>2</v>
      </c>
      <c r="O105" s="9">
        <f t="shared" si="6"/>
        <v>20</v>
      </c>
      <c r="P105" s="9" t="str">
        <f t="shared" si="7"/>
        <v>Library-ready</v>
      </c>
      <c r="Q105" s="12" t="s">
        <v>1116</v>
      </c>
    </row>
    <row r="106" spans="1:17" ht="33.75" customHeight="1" x14ac:dyDescent="0.3">
      <c r="A106" s="9" t="s">
        <v>918</v>
      </c>
      <c r="B106" s="12" t="s">
        <v>919</v>
      </c>
      <c r="C106" s="12" t="s">
        <v>59</v>
      </c>
      <c r="D106" s="21" t="s">
        <v>776</v>
      </c>
      <c r="E106" s="25">
        <v>2</v>
      </c>
      <c r="F106" s="25">
        <v>2</v>
      </c>
      <c r="G106" s="25">
        <v>2</v>
      </c>
      <c r="H106" s="25">
        <v>2</v>
      </c>
      <c r="I106" s="25">
        <v>2</v>
      </c>
      <c r="J106" s="25">
        <v>2</v>
      </c>
      <c r="K106" s="25">
        <v>2</v>
      </c>
      <c r="L106" s="25">
        <v>2</v>
      </c>
      <c r="M106" s="25">
        <v>2</v>
      </c>
      <c r="N106" s="25">
        <v>2</v>
      </c>
      <c r="O106" s="9">
        <f t="shared" si="6"/>
        <v>20</v>
      </c>
      <c r="P106" s="9" t="str">
        <f t="shared" si="7"/>
        <v>Library-ready</v>
      </c>
      <c r="Q106" s="12" t="s">
        <v>1116</v>
      </c>
    </row>
    <row r="107" spans="1:17" ht="33.75" customHeight="1" x14ac:dyDescent="0.3">
      <c r="A107" s="9" t="s">
        <v>926</v>
      </c>
      <c r="B107" s="12" t="s">
        <v>929</v>
      </c>
      <c r="C107" s="12" t="s">
        <v>49</v>
      </c>
      <c r="D107" s="23" t="s">
        <v>927</v>
      </c>
      <c r="E107" s="25">
        <v>2</v>
      </c>
      <c r="F107" s="26">
        <v>1</v>
      </c>
      <c r="G107" s="25">
        <v>2</v>
      </c>
      <c r="H107" s="25">
        <v>2</v>
      </c>
      <c r="I107" s="25">
        <v>2</v>
      </c>
      <c r="J107" s="25">
        <v>2</v>
      </c>
      <c r="K107" s="25">
        <v>2</v>
      </c>
      <c r="L107" s="25">
        <v>2</v>
      </c>
      <c r="M107" s="25">
        <v>2</v>
      </c>
      <c r="N107" s="25">
        <v>2</v>
      </c>
      <c r="O107" s="9">
        <f t="shared" si="6"/>
        <v>19</v>
      </c>
      <c r="P107" s="9" t="str">
        <f t="shared" si="7"/>
        <v>Library-ready</v>
      </c>
      <c r="Q107" s="12" t="s">
        <v>1115</v>
      </c>
    </row>
    <row r="108" spans="1:17" ht="33.75" customHeight="1" x14ac:dyDescent="0.3">
      <c r="A108" s="9" t="s">
        <v>936</v>
      </c>
      <c r="B108" s="12" t="s">
        <v>937</v>
      </c>
      <c r="C108" s="12" t="s">
        <v>59</v>
      </c>
      <c r="D108" s="23" t="s">
        <v>927</v>
      </c>
      <c r="E108" s="25">
        <v>2</v>
      </c>
      <c r="F108" s="25">
        <v>2</v>
      </c>
      <c r="G108" s="25">
        <v>2</v>
      </c>
      <c r="H108" s="25">
        <v>2</v>
      </c>
      <c r="I108" s="25">
        <v>2</v>
      </c>
      <c r="J108" s="25">
        <v>2</v>
      </c>
      <c r="K108" s="25">
        <v>2</v>
      </c>
      <c r="L108" s="25">
        <v>2</v>
      </c>
      <c r="M108" s="25">
        <v>2</v>
      </c>
      <c r="N108" s="25">
        <v>2</v>
      </c>
      <c r="O108" s="9">
        <f t="shared" si="6"/>
        <v>20</v>
      </c>
      <c r="P108" s="9" t="str">
        <f t="shared" si="7"/>
        <v>Library-ready</v>
      </c>
      <c r="Q108" s="12" t="s">
        <v>1116</v>
      </c>
    </row>
    <row r="109" spans="1:17" ht="33.75" customHeight="1" x14ac:dyDescent="0.3">
      <c r="A109" s="9" t="s">
        <v>944</v>
      </c>
      <c r="B109" s="12" t="s">
        <v>945</v>
      </c>
      <c r="C109" s="12" t="s">
        <v>59</v>
      </c>
      <c r="D109" s="23" t="s">
        <v>927</v>
      </c>
      <c r="E109" s="25">
        <v>2</v>
      </c>
      <c r="F109" s="25">
        <v>2</v>
      </c>
      <c r="G109" s="25">
        <v>2</v>
      </c>
      <c r="H109" s="25">
        <v>2</v>
      </c>
      <c r="I109" s="25">
        <v>2</v>
      </c>
      <c r="J109" s="25">
        <v>2</v>
      </c>
      <c r="K109" s="25">
        <v>2</v>
      </c>
      <c r="L109" s="25">
        <v>2</v>
      </c>
      <c r="M109" s="25">
        <v>2</v>
      </c>
      <c r="N109" s="25">
        <v>2</v>
      </c>
      <c r="O109" s="9">
        <f t="shared" si="6"/>
        <v>20</v>
      </c>
      <c r="P109" s="9" t="str">
        <f t="shared" si="7"/>
        <v>Library-ready</v>
      </c>
      <c r="Q109" s="12" t="s">
        <v>1116</v>
      </c>
    </row>
    <row r="110" spans="1:17" ht="33.75" customHeight="1" x14ac:dyDescent="0.3">
      <c r="A110" s="9" t="s">
        <v>952</v>
      </c>
      <c r="B110" s="12" t="s">
        <v>954</v>
      </c>
      <c r="C110" s="12" t="s">
        <v>49</v>
      </c>
      <c r="D110" s="23" t="s">
        <v>927</v>
      </c>
      <c r="E110" s="25">
        <v>2</v>
      </c>
      <c r="F110" s="26">
        <v>1</v>
      </c>
      <c r="G110" s="25">
        <v>2</v>
      </c>
      <c r="H110" s="25">
        <v>2</v>
      </c>
      <c r="I110" s="25">
        <v>2</v>
      </c>
      <c r="J110" s="25">
        <v>2</v>
      </c>
      <c r="K110" s="25">
        <v>2</v>
      </c>
      <c r="L110" s="25">
        <v>2</v>
      </c>
      <c r="M110" s="25">
        <v>2</v>
      </c>
      <c r="N110" s="25">
        <v>2</v>
      </c>
      <c r="O110" s="9">
        <f t="shared" si="6"/>
        <v>19</v>
      </c>
      <c r="P110" s="9" t="str">
        <f t="shared" si="7"/>
        <v>Library-ready</v>
      </c>
      <c r="Q110" s="12" t="s">
        <v>1115</v>
      </c>
    </row>
    <row r="111" spans="1:17" ht="33.75" customHeight="1" x14ac:dyDescent="0.3">
      <c r="A111" s="9" t="s">
        <v>961</v>
      </c>
      <c r="B111" s="12" t="s">
        <v>962</v>
      </c>
      <c r="C111" s="12" t="s">
        <v>59</v>
      </c>
      <c r="D111" s="23" t="s">
        <v>927</v>
      </c>
      <c r="E111" s="25">
        <v>2</v>
      </c>
      <c r="F111" s="25">
        <v>2</v>
      </c>
      <c r="G111" s="25">
        <v>2</v>
      </c>
      <c r="H111" s="25">
        <v>2</v>
      </c>
      <c r="I111" s="25">
        <v>2</v>
      </c>
      <c r="J111" s="25">
        <v>2</v>
      </c>
      <c r="K111" s="25">
        <v>2</v>
      </c>
      <c r="L111" s="25">
        <v>2</v>
      </c>
      <c r="M111" s="25">
        <v>2</v>
      </c>
      <c r="N111" s="25">
        <v>2</v>
      </c>
      <c r="O111" s="9">
        <f t="shared" si="6"/>
        <v>20</v>
      </c>
      <c r="P111" s="9" t="str">
        <f t="shared" si="7"/>
        <v>Library-ready</v>
      </c>
      <c r="Q111" s="12" t="s">
        <v>1116</v>
      </c>
    </row>
    <row r="112" spans="1:17" ht="33.75" customHeight="1" x14ac:dyDescent="0.3">
      <c r="A112" s="9" t="s">
        <v>969</v>
      </c>
      <c r="B112" s="12" t="s">
        <v>970</v>
      </c>
      <c r="C112" s="12" t="s">
        <v>59</v>
      </c>
      <c r="D112" s="23" t="s">
        <v>927</v>
      </c>
      <c r="E112" s="25">
        <v>2</v>
      </c>
      <c r="F112" s="25">
        <v>2</v>
      </c>
      <c r="G112" s="25">
        <v>2</v>
      </c>
      <c r="H112" s="25">
        <v>2</v>
      </c>
      <c r="I112" s="25">
        <v>2</v>
      </c>
      <c r="J112" s="25">
        <v>2</v>
      </c>
      <c r="K112" s="25">
        <v>2</v>
      </c>
      <c r="L112" s="25">
        <v>2</v>
      </c>
      <c r="M112" s="25">
        <v>2</v>
      </c>
      <c r="N112" s="25">
        <v>2</v>
      </c>
      <c r="O112" s="9">
        <f t="shared" si="6"/>
        <v>20</v>
      </c>
      <c r="P112" s="9" t="str">
        <f t="shared" si="7"/>
        <v>Library-ready</v>
      </c>
      <c r="Q112" s="12" t="s">
        <v>1116</v>
      </c>
    </row>
    <row r="113" spans="1:17" ht="33.75" customHeight="1" x14ac:dyDescent="0.3">
      <c r="A113" s="9" t="s">
        <v>977</v>
      </c>
      <c r="B113" s="12" t="s">
        <v>979</v>
      </c>
      <c r="C113" s="12" t="s">
        <v>49</v>
      </c>
      <c r="D113" s="23" t="s">
        <v>927</v>
      </c>
      <c r="E113" s="25">
        <v>2</v>
      </c>
      <c r="F113" s="26">
        <v>1</v>
      </c>
      <c r="G113" s="25">
        <v>2</v>
      </c>
      <c r="H113" s="25">
        <v>2</v>
      </c>
      <c r="I113" s="25">
        <v>2</v>
      </c>
      <c r="J113" s="25">
        <v>2</v>
      </c>
      <c r="K113" s="25">
        <v>2</v>
      </c>
      <c r="L113" s="25">
        <v>2</v>
      </c>
      <c r="M113" s="25">
        <v>2</v>
      </c>
      <c r="N113" s="25">
        <v>2</v>
      </c>
      <c r="O113" s="9">
        <f t="shared" si="6"/>
        <v>19</v>
      </c>
      <c r="P113" s="9" t="str">
        <f t="shared" si="7"/>
        <v>Library-ready</v>
      </c>
      <c r="Q113" s="12" t="s">
        <v>1115</v>
      </c>
    </row>
    <row r="114" spans="1:17" ht="33.75" customHeight="1" x14ac:dyDescent="0.3">
      <c r="A114" s="9" t="s">
        <v>986</v>
      </c>
      <c r="B114" s="12" t="s">
        <v>987</v>
      </c>
      <c r="C114" s="12" t="s">
        <v>59</v>
      </c>
      <c r="D114" s="23" t="s">
        <v>927</v>
      </c>
      <c r="E114" s="25">
        <v>2</v>
      </c>
      <c r="F114" s="25">
        <v>2</v>
      </c>
      <c r="G114" s="25">
        <v>2</v>
      </c>
      <c r="H114" s="25">
        <v>2</v>
      </c>
      <c r="I114" s="25">
        <v>2</v>
      </c>
      <c r="J114" s="25">
        <v>2</v>
      </c>
      <c r="K114" s="25">
        <v>2</v>
      </c>
      <c r="L114" s="25">
        <v>2</v>
      </c>
      <c r="M114" s="25">
        <v>2</v>
      </c>
      <c r="N114" s="25">
        <v>2</v>
      </c>
      <c r="O114" s="9">
        <f t="shared" si="6"/>
        <v>20</v>
      </c>
      <c r="P114" s="9" t="str">
        <f t="shared" si="7"/>
        <v>Library-ready</v>
      </c>
      <c r="Q114" s="12" t="s">
        <v>1116</v>
      </c>
    </row>
    <row r="115" spans="1:17" ht="33.75" customHeight="1" x14ac:dyDescent="0.3">
      <c r="A115" s="9" t="s">
        <v>994</v>
      </c>
      <c r="B115" s="12" t="s">
        <v>995</v>
      </c>
      <c r="C115" s="12" t="s">
        <v>59</v>
      </c>
      <c r="D115" s="23" t="s">
        <v>927</v>
      </c>
      <c r="E115" s="25">
        <v>2</v>
      </c>
      <c r="F115" s="25">
        <v>2</v>
      </c>
      <c r="G115" s="25">
        <v>2</v>
      </c>
      <c r="H115" s="25">
        <v>2</v>
      </c>
      <c r="I115" s="25">
        <v>2</v>
      </c>
      <c r="J115" s="25">
        <v>2</v>
      </c>
      <c r="K115" s="25">
        <v>2</v>
      </c>
      <c r="L115" s="25">
        <v>2</v>
      </c>
      <c r="M115" s="25">
        <v>2</v>
      </c>
      <c r="N115" s="25">
        <v>2</v>
      </c>
      <c r="O115" s="9">
        <f t="shared" si="6"/>
        <v>20</v>
      </c>
      <c r="P115" s="9" t="str">
        <f t="shared" si="7"/>
        <v>Library-ready</v>
      </c>
      <c r="Q115" s="12" t="s">
        <v>1116</v>
      </c>
    </row>
    <row r="116" spans="1:17" ht="33.75" customHeight="1" x14ac:dyDescent="0.3">
      <c r="A116" s="9" t="s">
        <v>1002</v>
      </c>
      <c r="B116" s="12" t="s">
        <v>1004</v>
      </c>
      <c r="C116" s="12" t="s">
        <v>49</v>
      </c>
      <c r="D116" s="23" t="s">
        <v>927</v>
      </c>
      <c r="E116" s="25">
        <v>2</v>
      </c>
      <c r="F116" s="26">
        <v>1</v>
      </c>
      <c r="G116" s="25">
        <v>2</v>
      </c>
      <c r="H116" s="25">
        <v>2</v>
      </c>
      <c r="I116" s="25">
        <v>2</v>
      </c>
      <c r="J116" s="25">
        <v>2</v>
      </c>
      <c r="K116" s="25">
        <v>2</v>
      </c>
      <c r="L116" s="25">
        <v>2</v>
      </c>
      <c r="M116" s="25">
        <v>2</v>
      </c>
      <c r="N116" s="25">
        <v>2</v>
      </c>
      <c r="O116" s="9">
        <f t="shared" si="6"/>
        <v>19</v>
      </c>
      <c r="P116" s="9" t="str">
        <f t="shared" si="7"/>
        <v>Library-ready</v>
      </c>
      <c r="Q116" s="12" t="s">
        <v>1115</v>
      </c>
    </row>
    <row r="117" spans="1:17" ht="33.75" customHeight="1" x14ac:dyDescent="0.3">
      <c r="A117" s="9" t="s">
        <v>1011</v>
      </c>
      <c r="B117" s="12" t="s">
        <v>1012</v>
      </c>
      <c r="C117" s="12" t="s">
        <v>59</v>
      </c>
      <c r="D117" s="23" t="s">
        <v>927</v>
      </c>
      <c r="E117" s="25">
        <v>2</v>
      </c>
      <c r="F117" s="25">
        <v>2</v>
      </c>
      <c r="G117" s="25">
        <v>2</v>
      </c>
      <c r="H117" s="25">
        <v>2</v>
      </c>
      <c r="I117" s="25">
        <v>2</v>
      </c>
      <c r="J117" s="25">
        <v>2</v>
      </c>
      <c r="K117" s="25">
        <v>2</v>
      </c>
      <c r="L117" s="25">
        <v>2</v>
      </c>
      <c r="M117" s="25">
        <v>2</v>
      </c>
      <c r="N117" s="25">
        <v>2</v>
      </c>
      <c r="O117" s="9">
        <f t="shared" si="6"/>
        <v>20</v>
      </c>
      <c r="P117" s="9" t="str">
        <f t="shared" si="7"/>
        <v>Library-ready</v>
      </c>
      <c r="Q117" s="12" t="s">
        <v>1116</v>
      </c>
    </row>
    <row r="118" spans="1:17" ht="33.75" customHeight="1" x14ac:dyDescent="0.3">
      <c r="A118" s="9" t="s">
        <v>1019</v>
      </c>
      <c r="B118" s="12" t="s">
        <v>1020</v>
      </c>
      <c r="C118" s="12" t="s">
        <v>59</v>
      </c>
      <c r="D118" s="23" t="s">
        <v>927</v>
      </c>
      <c r="E118" s="25">
        <v>2</v>
      </c>
      <c r="F118" s="25">
        <v>2</v>
      </c>
      <c r="G118" s="25">
        <v>2</v>
      </c>
      <c r="H118" s="25">
        <v>2</v>
      </c>
      <c r="I118" s="25">
        <v>2</v>
      </c>
      <c r="J118" s="25">
        <v>2</v>
      </c>
      <c r="K118" s="25">
        <v>2</v>
      </c>
      <c r="L118" s="25">
        <v>2</v>
      </c>
      <c r="M118" s="25">
        <v>2</v>
      </c>
      <c r="N118" s="25">
        <v>2</v>
      </c>
      <c r="O118" s="9">
        <f t="shared" si="6"/>
        <v>20</v>
      </c>
      <c r="P118" s="9" t="str">
        <f t="shared" si="7"/>
        <v>Library-ready</v>
      </c>
      <c r="Q118" s="12" t="s">
        <v>1116</v>
      </c>
    </row>
    <row r="119" spans="1:17" ht="33.75" customHeight="1" x14ac:dyDescent="0.3">
      <c r="A119" s="9" t="s">
        <v>1027</v>
      </c>
      <c r="B119" s="12" t="s">
        <v>1029</v>
      </c>
      <c r="C119" s="12" t="s">
        <v>49</v>
      </c>
      <c r="D119" s="23" t="s">
        <v>927</v>
      </c>
      <c r="E119" s="25">
        <v>2</v>
      </c>
      <c r="F119" s="26">
        <v>1</v>
      </c>
      <c r="G119" s="25">
        <v>2</v>
      </c>
      <c r="H119" s="25">
        <v>2</v>
      </c>
      <c r="I119" s="25">
        <v>2</v>
      </c>
      <c r="J119" s="25">
        <v>2</v>
      </c>
      <c r="K119" s="25">
        <v>2</v>
      </c>
      <c r="L119" s="25">
        <v>2</v>
      </c>
      <c r="M119" s="25">
        <v>2</v>
      </c>
      <c r="N119" s="25">
        <v>2</v>
      </c>
      <c r="O119" s="9">
        <f t="shared" si="6"/>
        <v>19</v>
      </c>
      <c r="P119" s="9" t="str">
        <f t="shared" si="7"/>
        <v>Library-ready</v>
      </c>
      <c r="Q119" s="12" t="s">
        <v>1115</v>
      </c>
    </row>
    <row r="120" spans="1:17" ht="33.75" customHeight="1" x14ac:dyDescent="0.3">
      <c r="A120" s="9" t="s">
        <v>1036</v>
      </c>
      <c r="B120" s="12" t="s">
        <v>1037</v>
      </c>
      <c r="C120" s="12" t="s">
        <v>59</v>
      </c>
      <c r="D120" s="23" t="s">
        <v>927</v>
      </c>
      <c r="E120" s="25">
        <v>2</v>
      </c>
      <c r="F120" s="25">
        <v>2</v>
      </c>
      <c r="G120" s="25">
        <v>2</v>
      </c>
      <c r="H120" s="25">
        <v>2</v>
      </c>
      <c r="I120" s="25">
        <v>2</v>
      </c>
      <c r="J120" s="25">
        <v>2</v>
      </c>
      <c r="K120" s="25">
        <v>2</v>
      </c>
      <c r="L120" s="25">
        <v>2</v>
      </c>
      <c r="M120" s="25">
        <v>2</v>
      </c>
      <c r="N120" s="25">
        <v>2</v>
      </c>
      <c r="O120" s="9">
        <f t="shared" si="6"/>
        <v>20</v>
      </c>
      <c r="P120" s="9" t="str">
        <f t="shared" si="7"/>
        <v>Library-ready</v>
      </c>
      <c r="Q120" s="12" t="s">
        <v>1116</v>
      </c>
    </row>
    <row r="121" spans="1:17" ht="33.75" customHeight="1" x14ac:dyDescent="0.3">
      <c r="A121" s="9" t="s">
        <v>1044</v>
      </c>
      <c r="B121" s="12" t="s">
        <v>1045</v>
      </c>
      <c r="C121" s="12" t="s">
        <v>59</v>
      </c>
      <c r="D121" s="23" t="s">
        <v>927</v>
      </c>
      <c r="E121" s="25">
        <v>2</v>
      </c>
      <c r="F121" s="25">
        <v>2</v>
      </c>
      <c r="G121" s="25">
        <v>2</v>
      </c>
      <c r="H121" s="25">
        <v>2</v>
      </c>
      <c r="I121" s="25">
        <v>2</v>
      </c>
      <c r="J121" s="25">
        <v>2</v>
      </c>
      <c r="K121" s="25">
        <v>2</v>
      </c>
      <c r="L121" s="25">
        <v>2</v>
      </c>
      <c r="M121" s="25">
        <v>2</v>
      </c>
      <c r="N121" s="25">
        <v>2</v>
      </c>
      <c r="O121" s="9">
        <f t="shared" si="6"/>
        <v>20</v>
      </c>
      <c r="P121" s="9" t="str">
        <f t="shared" si="7"/>
        <v>Library-ready</v>
      </c>
      <c r="Q121" s="12" t="s">
        <v>1116</v>
      </c>
    </row>
    <row r="122" spans="1:17" ht="33.75" customHeight="1" x14ac:dyDescent="0.3">
      <c r="A122" s="9" t="s">
        <v>1052</v>
      </c>
      <c r="B122" s="12" t="s">
        <v>1054</v>
      </c>
      <c r="C122" s="12" t="s">
        <v>49</v>
      </c>
      <c r="D122" s="23" t="s">
        <v>927</v>
      </c>
      <c r="E122" s="25">
        <v>2</v>
      </c>
      <c r="F122" s="26">
        <v>1</v>
      </c>
      <c r="G122" s="25">
        <v>2</v>
      </c>
      <c r="H122" s="25">
        <v>2</v>
      </c>
      <c r="I122" s="25">
        <v>2</v>
      </c>
      <c r="J122" s="25">
        <v>2</v>
      </c>
      <c r="K122" s="25">
        <v>2</v>
      </c>
      <c r="L122" s="25">
        <v>2</v>
      </c>
      <c r="M122" s="25">
        <v>2</v>
      </c>
      <c r="N122" s="25">
        <v>2</v>
      </c>
      <c r="O122" s="9">
        <f t="shared" si="6"/>
        <v>19</v>
      </c>
      <c r="P122" s="9" t="str">
        <f t="shared" si="7"/>
        <v>Library-ready</v>
      </c>
      <c r="Q122" s="12" t="s">
        <v>1115</v>
      </c>
    </row>
    <row r="123" spans="1:17" ht="33.75" customHeight="1" x14ac:dyDescent="0.3">
      <c r="A123" s="9" t="s">
        <v>1061</v>
      </c>
      <c r="B123" s="12" t="s">
        <v>1062</v>
      </c>
      <c r="C123" s="12" t="s">
        <v>59</v>
      </c>
      <c r="D123" s="23" t="s">
        <v>927</v>
      </c>
      <c r="E123" s="25">
        <v>2</v>
      </c>
      <c r="F123" s="25">
        <v>2</v>
      </c>
      <c r="G123" s="25">
        <v>2</v>
      </c>
      <c r="H123" s="25">
        <v>2</v>
      </c>
      <c r="I123" s="25">
        <v>2</v>
      </c>
      <c r="J123" s="25">
        <v>2</v>
      </c>
      <c r="K123" s="25">
        <v>2</v>
      </c>
      <c r="L123" s="25">
        <v>2</v>
      </c>
      <c r="M123" s="25">
        <v>2</v>
      </c>
      <c r="N123" s="25">
        <v>2</v>
      </c>
      <c r="O123" s="9">
        <f t="shared" si="6"/>
        <v>20</v>
      </c>
      <c r="P123" s="9" t="str">
        <f t="shared" si="7"/>
        <v>Library-ready</v>
      </c>
      <c r="Q123" s="12" t="s">
        <v>1116</v>
      </c>
    </row>
    <row r="124" spans="1:17" ht="33.75" customHeight="1" x14ac:dyDescent="0.3">
      <c r="A124" s="9" t="s">
        <v>1069</v>
      </c>
      <c r="B124" s="12" t="s">
        <v>1070</v>
      </c>
      <c r="C124" s="12" t="s">
        <v>59</v>
      </c>
      <c r="D124" s="23" t="s">
        <v>927</v>
      </c>
      <c r="E124" s="25">
        <v>2</v>
      </c>
      <c r="F124" s="25">
        <v>2</v>
      </c>
      <c r="G124" s="25">
        <v>2</v>
      </c>
      <c r="H124" s="25">
        <v>2</v>
      </c>
      <c r="I124" s="25">
        <v>2</v>
      </c>
      <c r="J124" s="25">
        <v>2</v>
      </c>
      <c r="K124" s="25">
        <v>2</v>
      </c>
      <c r="L124" s="25">
        <v>2</v>
      </c>
      <c r="M124" s="25">
        <v>2</v>
      </c>
      <c r="N124" s="25">
        <v>2</v>
      </c>
      <c r="O124" s="9">
        <f t="shared" si="6"/>
        <v>20</v>
      </c>
      <c r="P124" s="9" t="str">
        <f t="shared" si="7"/>
        <v>Library-ready</v>
      </c>
      <c r="Q124" s="12" t="s">
        <v>1116</v>
      </c>
    </row>
    <row r="125" spans="1:17" ht="33.75" customHeight="1" x14ac:dyDescent="0.3">
      <c r="A125" s="9" t="s">
        <v>1077</v>
      </c>
      <c r="B125" s="12" t="s">
        <v>1079</v>
      </c>
      <c r="C125" s="12" t="s">
        <v>49</v>
      </c>
      <c r="D125" s="23" t="s">
        <v>927</v>
      </c>
      <c r="E125" s="25">
        <v>2</v>
      </c>
      <c r="F125" s="26">
        <v>1</v>
      </c>
      <c r="G125" s="25">
        <v>2</v>
      </c>
      <c r="H125" s="25">
        <v>2</v>
      </c>
      <c r="I125" s="25">
        <v>2</v>
      </c>
      <c r="J125" s="25">
        <v>2</v>
      </c>
      <c r="K125" s="25">
        <v>2</v>
      </c>
      <c r="L125" s="25">
        <v>2</v>
      </c>
      <c r="M125" s="25">
        <v>2</v>
      </c>
      <c r="N125" s="25">
        <v>2</v>
      </c>
      <c r="O125" s="9">
        <f t="shared" si="6"/>
        <v>19</v>
      </c>
      <c r="P125" s="9" t="str">
        <f t="shared" si="7"/>
        <v>Library-ready</v>
      </c>
      <c r="Q125" s="12" t="s">
        <v>1115</v>
      </c>
    </row>
    <row r="126" spans="1:17" ht="33.75" customHeight="1" x14ac:dyDescent="0.3">
      <c r="A126" s="9" t="s">
        <v>1086</v>
      </c>
      <c r="B126" s="12" t="s">
        <v>1087</v>
      </c>
      <c r="C126" s="12" t="s">
        <v>59</v>
      </c>
      <c r="D126" s="23" t="s">
        <v>927</v>
      </c>
      <c r="E126" s="25">
        <v>2</v>
      </c>
      <c r="F126" s="25">
        <v>2</v>
      </c>
      <c r="G126" s="25">
        <v>2</v>
      </c>
      <c r="H126" s="25">
        <v>2</v>
      </c>
      <c r="I126" s="25">
        <v>2</v>
      </c>
      <c r="J126" s="25">
        <v>2</v>
      </c>
      <c r="K126" s="25">
        <v>2</v>
      </c>
      <c r="L126" s="25">
        <v>2</v>
      </c>
      <c r="M126" s="25">
        <v>2</v>
      </c>
      <c r="N126" s="25">
        <v>2</v>
      </c>
      <c r="O126" s="9">
        <f t="shared" si="6"/>
        <v>20</v>
      </c>
      <c r="P126" s="9" t="str">
        <f t="shared" si="7"/>
        <v>Library-ready</v>
      </c>
      <c r="Q126" s="12" t="s">
        <v>1116</v>
      </c>
    </row>
    <row r="127" spans="1:17" ht="33.75" customHeight="1" x14ac:dyDescent="0.3">
      <c r="A127" s="9" t="s">
        <v>1094</v>
      </c>
      <c r="B127" s="12" t="s">
        <v>1095</v>
      </c>
      <c r="C127" s="12" t="s">
        <v>59</v>
      </c>
      <c r="D127" s="23" t="s">
        <v>927</v>
      </c>
      <c r="E127" s="25">
        <v>2</v>
      </c>
      <c r="F127" s="25">
        <v>2</v>
      </c>
      <c r="G127" s="25">
        <v>2</v>
      </c>
      <c r="H127" s="25">
        <v>2</v>
      </c>
      <c r="I127" s="25">
        <v>2</v>
      </c>
      <c r="J127" s="25">
        <v>2</v>
      </c>
      <c r="K127" s="25">
        <v>2</v>
      </c>
      <c r="L127" s="25">
        <v>2</v>
      </c>
      <c r="M127" s="25">
        <v>2</v>
      </c>
      <c r="N127" s="25">
        <v>2</v>
      </c>
      <c r="O127" s="9">
        <f t="shared" si="6"/>
        <v>20</v>
      </c>
      <c r="P127" s="9" t="str">
        <f t="shared" si="7"/>
        <v>Library-ready</v>
      </c>
      <c r="Q127" s="12" t="s">
        <v>1116</v>
      </c>
    </row>
    <row r="129" spans="1:10" ht="15" customHeight="1" x14ac:dyDescent="0.3">
      <c r="A129" s="4" t="s">
        <v>1117</v>
      </c>
    </row>
    <row r="130" spans="1:10" ht="14.25" customHeight="1" x14ac:dyDescent="0.3">
      <c r="A130" s="27" t="s">
        <v>1118</v>
      </c>
      <c r="B130" s="28">
        <f>COUNTA(A2:A127)</f>
        <v>126</v>
      </c>
    </row>
    <row r="131" spans="1:10" ht="14.25" customHeight="1" x14ac:dyDescent="0.3">
      <c r="A131" s="27" t="s">
        <v>1119</v>
      </c>
      <c r="B131" s="28">
        <f>ROUND(AVERAGE(O2:O127),2)</f>
        <v>19.670000000000002</v>
      </c>
    </row>
    <row r="132" spans="1:10" ht="14.25" customHeight="1" x14ac:dyDescent="0.3">
      <c r="A132" s="27" t="s">
        <v>1120</v>
      </c>
      <c r="B132" s="28" t="str">
        <f>MIN(O2:O127)&amp;" / "&amp;MAX(O2:O127)</f>
        <v>19 / 20</v>
      </c>
    </row>
    <row r="133" spans="1:10" ht="14.25" customHeight="1" x14ac:dyDescent="0.3">
      <c r="A133" s="27" t="s">
        <v>1121</v>
      </c>
      <c r="B133" s="28">
        <f>COUNTIF(P2:P127,"Library-ready")</f>
        <v>126</v>
      </c>
    </row>
    <row r="134" spans="1:10" ht="14.25" customHeight="1" x14ac:dyDescent="0.3">
      <c r="A134" s="27" t="s">
        <v>1122</v>
      </c>
      <c r="B134" s="28">
        <f>COUNTIF(O2:O127,20)</f>
        <v>84</v>
      </c>
    </row>
    <row r="135" spans="1:10" ht="14.25" customHeight="1" x14ac:dyDescent="0.3">
      <c r="A135" s="27" t="s">
        <v>1123</v>
      </c>
      <c r="B135" s="28">
        <f>COUNTIF(O2:O127,19)</f>
        <v>42</v>
      </c>
    </row>
    <row r="137" spans="1:10" ht="15" customHeight="1" x14ac:dyDescent="0.3">
      <c r="A137" s="1" t="s">
        <v>1124</v>
      </c>
      <c r="B137" s="1"/>
      <c r="C137" s="1"/>
      <c r="D137" s="1"/>
      <c r="E137" s="1"/>
      <c r="F137" s="1"/>
      <c r="G137" s="1"/>
      <c r="H137" s="1"/>
      <c r="I137" s="1"/>
      <c r="J137" s="1"/>
    </row>
    <row r="138" spans="1:10" ht="14.25" customHeight="1" x14ac:dyDescent="0.3">
      <c r="A138" s="1"/>
      <c r="B138" s="1"/>
      <c r="C138" s="1"/>
      <c r="D138" s="1"/>
      <c r="E138" s="1"/>
      <c r="F138" s="1"/>
      <c r="G138" s="1"/>
      <c r="H138" s="1"/>
      <c r="I138" s="1"/>
      <c r="J138" s="1"/>
    </row>
    <row r="139" spans="1:10" ht="14.25" customHeight="1" x14ac:dyDescent="0.3">
      <c r="A139" s="1"/>
      <c r="B139" s="1"/>
      <c r="C139" s="1"/>
      <c r="D139" s="1"/>
      <c r="E139" s="1"/>
      <c r="F139" s="1"/>
      <c r="G139" s="1"/>
      <c r="H139" s="1"/>
      <c r="I139" s="1"/>
      <c r="J139" s="1"/>
    </row>
    <row r="140" spans="1:10" ht="14.25" customHeight="1" x14ac:dyDescent="0.3">
      <c r="A140" s="1"/>
      <c r="B140" s="1"/>
      <c r="C140" s="1"/>
      <c r="D140" s="1"/>
      <c r="E140" s="1"/>
      <c r="F140" s="1"/>
      <c r="G140" s="1"/>
      <c r="H140" s="1"/>
      <c r="I140" s="1"/>
      <c r="J140" s="1"/>
    </row>
  </sheetData>
  <autoFilter ref="A1:Q127" xr:uid="{00000000-0009-0000-0000-000002000000}"/>
  <mergeCells count="1">
    <mergeCell ref="A137:J14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7"/>
  <sheetViews>
    <sheetView showGridLines="0" topLeftCell="A29" zoomScaleNormal="100" workbookViewId="0"/>
  </sheetViews>
  <sheetFormatPr defaultColWidth="8.6640625" defaultRowHeight="14.4" x14ac:dyDescent="0.3"/>
  <cols>
    <col min="1" max="1" width="20" customWidth="1"/>
    <col min="2" max="2" width="22" customWidth="1"/>
    <col min="3" max="4" width="55" customWidth="1"/>
    <col min="5" max="5" width="12" customWidth="1"/>
  </cols>
  <sheetData>
    <row r="1" spans="1:5" ht="17.25" customHeight="1" x14ac:dyDescent="0.3">
      <c r="A1" s="29" t="s">
        <v>1125</v>
      </c>
    </row>
    <row r="3" spans="1:5" ht="26.25" customHeight="1" x14ac:dyDescent="0.3">
      <c r="A3" s="8" t="s">
        <v>1126</v>
      </c>
      <c r="B3" s="8" t="s">
        <v>1127</v>
      </c>
      <c r="C3" s="8" t="s">
        <v>1128</v>
      </c>
      <c r="D3" s="8" t="s">
        <v>1129</v>
      </c>
      <c r="E3" s="8" t="s">
        <v>1130</v>
      </c>
    </row>
    <row r="4" spans="1:5" ht="31.5" customHeight="1" x14ac:dyDescent="0.3">
      <c r="A4" s="10" t="s">
        <v>1131</v>
      </c>
      <c r="B4" s="9" t="s">
        <v>1132</v>
      </c>
      <c r="C4" s="12" t="s">
        <v>1133</v>
      </c>
      <c r="D4" s="12" t="s">
        <v>1134</v>
      </c>
      <c r="E4" s="30"/>
    </row>
    <row r="5" spans="1:5" ht="31.5" customHeight="1" x14ac:dyDescent="0.3">
      <c r="A5" s="10" t="s">
        <v>1131</v>
      </c>
      <c r="B5" s="9" t="s">
        <v>1135</v>
      </c>
      <c r="C5" s="12" t="s">
        <v>1136</v>
      </c>
      <c r="D5" s="12" t="s">
        <v>1137</v>
      </c>
      <c r="E5" s="30"/>
    </row>
    <row r="6" spans="1:5" ht="31.5" customHeight="1" x14ac:dyDescent="0.3">
      <c r="A6" s="10" t="s">
        <v>1131</v>
      </c>
      <c r="B6" s="9" t="s">
        <v>1138</v>
      </c>
      <c r="C6" s="12" t="s">
        <v>1139</v>
      </c>
      <c r="D6" s="12" t="s">
        <v>1140</v>
      </c>
      <c r="E6" s="30"/>
    </row>
    <row r="7" spans="1:5" ht="31.5" customHeight="1" x14ac:dyDescent="0.3">
      <c r="A7" s="10" t="s">
        <v>1131</v>
      </c>
      <c r="B7" s="9" t="s">
        <v>1141</v>
      </c>
      <c r="C7" s="12" t="s">
        <v>1142</v>
      </c>
      <c r="D7" s="12" t="s">
        <v>1143</v>
      </c>
      <c r="E7" s="30"/>
    </row>
    <row r="8" spans="1:5" ht="31.5" customHeight="1" x14ac:dyDescent="0.3">
      <c r="A8" s="14" t="s">
        <v>1144</v>
      </c>
      <c r="B8" s="9" t="s">
        <v>1145</v>
      </c>
      <c r="C8" s="12" t="s">
        <v>1146</v>
      </c>
      <c r="D8" s="12" t="s">
        <v>1147</v>
      </c>
      <c r="E8" s="30"/>
    </row>
    <row r="9" spans="1:5" ht="31.5" customHeight="1" x14ac:dyDescent="0.3">
      <c r="A9" s="14" t="s">
        <v>1144</v>
      </c>
      <c r="B9" s="9" t="s">
        <v>1148</v>
      </c>
      <c r="C9" s="12" t="s">
        <v>1149</v>
      </c>
      <c r="D9" s="12" t="s">
        <v>1150</v>
      </c>
      <c r="E9" s="30"/>
    </row>
    <row r="10" spans="1:5" ht="31.5" customHeight="1" x14ac:dyDescent="0.3">
      <c r="A10" s="14" t="s">
        <v>1144</v>
      </c>
      <c r="B10" s="9" t="s">
        <v>1151</v>
      </c>
      <c r="C10" s="12" t="s">
        <v>1152</v>
      </c>
      <c r="D10" s="12" t="s">
        <v>1153</v>
      </c>
      <c r="E10" s="30"/>
    </row>
    <row r="11" spans="1:5" ht="31.5" customHeight="1" x14ac:dyDescent="0.3">
      <c r="A11" s="16" t="s">
        <v>1154</v>
      </c>
      <c r="B11" s="9" t="s">
        <v>1155</v>
      </c>
      <c r="C11" s="12" t="s">
        <v>1156</v>
      </c>
      <c r="D11" s="12" t="s">
        <v>1157</v>
      </c>
      <c r="E11" s="30"/>
    </row>
    <row r="12" spans="1:5" ht="31.5" customHeight="1" x14ac:dyDescent="0.3">
      <c r="A12" s="16" t="s">
        <v>1154</v>
      </c>
      <c r="B12" s="9" t="s">
        <v>1158</v>
      </c>
      <c r="C12" s="12" t="s">
        <v>1159</v>
      </c>
      <c r="D12" s="12" t="s">
        <v>1160</v>
      </c>
      <c r="E12" s="30"/>
    </row>
    <row r="13" spans="1:5" ht="31.5" customHeight="1" x14ac:dyDescent="0.3">
      <c r="A13" s="16" t="s">
        <v>1154</v>
      </c>
      <c r="B13" s="9" t="s">
        <v>1161</v>
      </c>
      <c r="C13" s="12" t="s">
        <v>1162</v>
      </c>
      <c r="D13" s="12" t="s">
        <v>1163</v>
      </c>
      <c r="E13" s="30"/>
    </row>
    <row r="14" spans="1:5" ht="14.25" customHeight="1" x14ac:dyDescent="0.3">
      <c r="D14" s="5" t="s">
        <v>1164</v>
      </c>
      <c r="E14" s="31">
        <f>SUM(E4:E13)</f>
        <v>0</v>
      </c>
    </row>
    <row r="15" spans="1:5" ht="14.25" customHeight="1" x14ac:dyDescent="0.3">
      <c r="D15" s="5" t="s">
        <v>1113</v>
      </c>
      <c r="E15" s="5" t="str">
        <f>IF(COUNT(E4:E13)&lt;10,"—",IF(E14&gt;=17,"Library-ready",IF(E14&gt;=12,"Refine first","Rework")))</f>
        <v>—</v>
      </c>
    </row>
    <row r="17" spans="1:3" ht="14.25" customHeight="1" x14ac:dyDescent="0.3">
      <c r="A17" s="3" t="s">
        <v>1165</v>
      </c>
    </row>
    <row r="19" spans="1:3" ht="15" customHeight="1" x14ac:dyDescent="0.3">
      <c r="A19" s="4" t="s">
        <v>1166</v>
      </c>
    </row>
    <row r="20" spans="1:3" ht="14.25" customHeight="1" x14ac:dyDescent="0.3">
      <c r="A20" s="8" t="s">
        <v>1167</v>
      </c>
      <c r="B20" s="8" t="s">
        <v>1113</v>
      </c>
      <c r="C20" s="8" t="s">
        <v>1168</v>
      </c>
    </row>
    <row r="21" spans="1:3" ht="14.25" customHeight="1" x14ac:dyDescent="0.3">
      <c r="A21" s="12" t="s">
        <v>1169</v>
      </c>
      <c r="B21" s="12" t="s">
        <v>1170</v>
      </c>
      <c r="C21" s="12" t="s">
        <v>1171</v>
      </c>
    </row>
    <row r="22" spans="1:3" ht="14.25" customHeight="1" x14ac:dyDescent="0.3">
      <c r="A22" s="12" t="s">
        <v>1172</v>
      </c>
      <c r="B22" s="12" t="s">
        <v>1173</v>
      </c>
      <c r="C22" s="12" t="s">
        <v>1174</v>
      </c>
    </row>
    <row r="23" spans="1:3" ht="14.25" customHeight="1" x14ac:dyDescent="0.3">
      <c r="A23" s="12" t="s">
        <v>1175</v>
      </c>
      <c r="B23" s="12" t="s">
        <v>1176</v>
      </c>
      <c r="C23" s="12" t="s">
        <v>1177</v>
      </c>
    </row>
    <row r="25" spans="1:3" ht="15" customHeight="1" x14ac:dyDescent="0.3">
      <c r="A25" s="4" t="s">
        <v>1178</v>
      </c>
    </row>
    <row r="26" spans="1:3" ht="14.25" customHeight="1" x14ac:dyDescent="0.3">
      <c r="A26" s="8" t="s">
        <v>1127</v>
      </c>
      <c r="B26" s="8" t="s">
        <v>1167</v>
      </c>
      <c r="C26" s="8" t="s">
        <v>1179</v>
      </c>
    </row>
    <row r="27" spans="1:3" ht="25.5" customHeight="1" x14ac:dyDescent="0.3">
      <c r="A27" s="9" t="s">
        <v>1132</v>
      </c>
      <c r="B27" s="12">
        <v>1</v>
      </c>
      <c r="C27" s="12" t="s">
        <v>1180</v>
      </c>
    </row>
    <row r="28" spans="1:3" ht="25.5" customHeight="1" x14ac:dyDescent="0.3">
      <c r="A28" s="9" t="s">
        <v>1135</v>
      </c>
      <c r="B28" s="12">
        <v>2</v>
      </c>
      <c r="C28" s="12" t="s">
        <v>1181</v>
      </c>
    </row>
    <row r="29" spans="1:3" ht="25.5" customHeight="1" x14ac:dyDescent="0.3">
      <c r="A29" s="9" t="s">
        <v>1138</v>
      </c>
      <c r="B29" s="12">
        <v>2</v>
      </c>
      <c r="C29" s="12" t="s">
        <v>1182</v>
      </c>
    </row>
    <row r="30" spans="1:3" ht="25.5" customHeight="1" x14ac:dyDescent="0.3">
      <c r="A30" s="9" t="s">
        <v>1141</v>
      </c>
      <c r="B30" s="12">
        <v>2</v>
      </c>
      <c r="C30" s="12" t="s">
        <v>1183</v>
      </c>
    </row>
    <row r="31" spans="1:3" ht="25.5" customHeight="1" x14ac:dyDescent="0.3">
      <c r="A31" s="9" t="s">
        <v>1145</v>
      </c>
      <c r="B31" s="12">
        <v>2</v>
      </c>
      <c r="C31" s="12" t="s">
        <v>1184</v>
      </c>
    </row>
    <row r="32" spans="1:3" ht="25.5" customHeight="1" x14ac:dyDescent="0.3">
      <c r="A32" s="9" t="s">
        <v>1148</v>
      </c>
      <c r="B32" s="12">
        <v>2</v>
      </c>
      <c r="C32" s="12" t="s">
        <v>1185</v>
      </c>
    </row>
    <row r="33" spans="1:3" ht="25.5" customHeight="1" x14ac:dyDescent="0.3">
      <c r="A33" s="9" t="s">
        <v>1151</v>
      </c>
      <c r="B33" s="12">
        <v>1</v>
      </c>
      <c r="C33" s="12" t="s">
        <v>1186</v>
      </c>
    </row>
    <row r="34" spans="1:3" ht="25.5" customHeight="1" x14ac:dyDescent="0.3">
      <c r="A34" s="9" t="s">
        <v>1155</v>
      </c>
      <c r="B34" s="12">
        <v>1</v>
      </c>
      <c r="C34" s="12" t="s">
        <v>1187</v>
      </c>
    </row>
    <row r="35" spans="1:3" ht="25.5" customHeight="1" x14ac:dyDescent="0.3">
      <c r="A35" s="9" t="s">
        <v>1158</v>
      </c>
      <c r="B35" s="12">
        <v>2</v>
      </c>
      <c r="C35" s="12" t="s">
        <v>1188</v>
      </c>
    </row>
    <row r="36" spans="1:3" ht="25.5" customHeight="1" x14ac:dyDescent="0.3">
      <c r="A36" s="9" t="s">
        <v>1161</v>
      </c>
      <c r="B36" s="12">
        <v>2</v>
      </c>
      <c r="C36" s="12" t="s">
        <v>1189</v>
      </c>
    </row>
    <row r="37" spans="1:3" ht="22.5" customHeight="1" x14ac:dyDescent="0.3">
      <c r="A37" s="5" t="s">
        <v>1190</v>
      </c>
      <c r="B37" s="5">
        <f>SUM(B27:B36)</f>
        <v>17</v>
      </c>
      <c r="C37" s="32" t="s">
        <v>1191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
  <sheetViews>
    <sheetView zoomScaleNormal="100" workbookViewId="0">
      <pane ySplit="1" topLeftCell="A2" activePane="bottomLeft" state="frozen"/>
      <selection pane="bottomLeft" activeCell="B2" sqref="B2:B12"/>
    </sheetView>
  </sheetViews>
  <sheetFormatPr defaultColWidth="8.6640625" defaultRowHeight="14.4" x14ac:dyDescent="0.3"/>
  <cols>
    <col min="1" max="2" width="26" customWidth="1"/>
    <col min="3" max="3" width="50" customWidth="1"/>
    <col min="4" max="4" width="55" customWidth="1"/>
    <col min="5" max="5" width="34" customWidth="1"/>
    <col min="6" max="6" width="45" customWidth="1"/>
  </cols>
  <sheetData>
    <row r="1" spans="1:6" ht="14.25" customHeight="1" x14ac:dyDescent="0.3">
      <c r="A1" s="8" t="s">
        <v>1192</v>
      </c>
      <c r="B1" s="8" t="s">
        <v>1193</v>
      </c>
      <c r="C1" s="8" t="s">
        <v>1194</v>
      </c>
      <c r="D1" s="8" t="s">
        <v>1195</v>
      </c>
      <c r="E1" s="8" t="s">
        <v>1196</v>
      </c>
      <c r="F1" s="8" t="s">
        <v>1197</v>
      </c>
    </row>
    <row r="2" spans="1:6" ht="72" customHeight="1" x14ac:dyDescent="0.3">
      <c r="A2" s="9" t="s">
        <v>1198</v>
      </c>
      <c r="B2" s="12" t="s">
        <v>1248</v>
      </c>
      <c r="C2" s="12" t="s">
        <v>1199</v>
      </c>
      <c r="D2" s="12" t="s">
        <v>1200</v>
      </c>
      <c r="E2" s="12" t="s">
        <v>1201</v>
      </c>
      <c r="F2" s="12" t="s">
        <v>1202</v>
      </c>
    </row>
    <row r="3" spans="1:6" ht="72" customHeight="1" x14ac:dyDescent="0.3">
      <c r="A3" s="9" t="s">
        <v>1203</v>
      </c>
      <c r="B3" s="12" t="s">
        <v>1248</v>
      </c>
      <c r="C3" s="12" t="s">
        <v>1204</v>
      </c>
      <c r="D3" s="12" t="s">
        <v>1205</v>
      </c>
      <c r="E3" s="12" t="s">
        <v>1206</v>
      </c>
      <c r="F3" s="12" t="s">
        <v>1207</v>
      </c>
    </row>
    <row r="4" spans="1:6" ht="72" customHeight="1" x14ac:dyDescent="0.3">
      <c r="A4" s="9" t="s">
        <v>1208</v>
      </c>
      <c r="B4" s="12" t="s">
        <v>1248</v>
      </c>
      <c r="C4" s="12" t="s">
        <v>1209</v>
      </c>
      <c r="D4" s="12" t="s">
        <v>1210</v>
      </c>
      <c r="E4" s="12" t="s">
        <v>1211</v>
      </c>
      <c r="F4" s="12" t="s">
        <v>1212</v>
      </c>
    </row>
    <row r="5" spans="1:6" ht="72" customHeight="1" x14ac:dyDescent="0.3">
      <c r="A5" s="9" t="s">
        <v>1213</v>
      </c>
      <c r="B5" s="12" t="s">
        <v>1248</v>
      </c>
      <c r="C5" s="12" t="s">
        <v>1214</v>
      </c>
      <c r="D5" s="12" t="s">
        <v>1215</v>
      </c>
      <c r="E5" s="12" t="s">
        <v>1216</v>
      </c>
      <c r="F5" s="12" t="s">
        <v>1217</v>
      </c>
    </row>
    <row r="6" spans="1:6" ht="72" customHeight="1" x14ac:dyDescent="0.3">
      <c r="A6" s="9" t="s">
        <v>1218</v>
      </c>
      <c r="B6" s="12" t="s">
        <v>1248</v>
      </c>
      <c r="C6" s="12" t="s">
        <v>1219</v>
      </c>
      <c r="D6" s="12" t="s">
        <v>1220</v>
      </c>
      <c r="E6" s="12" t="s">
        <v>1221</v>
      </c>
      <c r="F6" s="12" t="s">
        <v>1202</v>
      </c>
    </row>
    <row r="7" spans="1:6" ht="72" customHeight="1" x14ac:dyDescent="0.3">
      <c r="A7" s="9" t="s">
        <v>1222</v>
      </c>
      <c r="B7" s="12" t="s">
        <v>1248</v>
      </c>
      <c r="C7" s="12" t="s">
        <v>1223</v>
      </c>
      <c r="D7" s="12" t="s">
        <v>1224</v>
      </c>
      <c r="E7" s="12" t="s">
        <v>1225</v>
      </c>
      <c r="F7" s="12" t="s">
        <v>1202</v>
      </c>
    </row>
    <row r="8" spans="1:6" ht="72" customHeight="1" x14ac:dyDescent="0.3">
      <c r="A8" s="9" t="s">
        <v>1226</v>
      </c>
      <c r="B8" s="12" t="s">
        <v>1248</v>
      </c>
      <c r="C8" s="12" t="s">
        <v>1227</v>
      </c>
      <c r="D8" s="12" t="s">
        <v>1228</v>
      </c>
      <c r="E8" s="12" t="s">
        <v>1229</v>
      </c>
      <c r="F8" s="12" t="s">
        <v>1202</v>
      </c>
    </row>
    <row r="9" spans="1:6" ht="72" customHeight="1" x14ac:dyDescent="0.3">
      <c r="A9" s="9" t="s">
        <v>1230</v>
      </c>
      <c r="B9" s="12" t="s">
        <v>1248</v>
      </c>
      <c r="C9" s="12" t="s">
        <v>1231</v>
      </c>
      <c r="D9" s="12" t="s">
        <v>1232</v>
      </c>
      <c r="E9" s="12" t="s">
        <v>1233</v>
      </c>
      <c r="F9" s="12" t="s">
        <v>1202</v>
      </c>
    </row>
    <row r="10" spans="1:6" ht="72" customHeight="1" x14ac:dyDescent="0.3">
      <c r="A10" s="9" t="s">
        <v>1234</v>
      </c>
      <c r="B10" s="12" t="s">
        <v>1248</v>
      </c>
      <c r="C10" s="12" t="s">
        <v>1235</v>
      </c>
      <c r="D10" s="12" t="s">
        <v>1236</v>
      </c>
      <c r="E10" s="12" t="s">
        <v>1237</v>
      </c>
      <c r="F10" s="12" t="s">
        <v>1238</v>
      </c>
    </row>
    <row r="11" spans="1:6" ht="72" customHeight="1" x14ac:dyDescent="0.3">
      <c r="A11" s="9" t="s">
        <v>1239</v>
      </c>
      <c r="B11" s="12" t="s">
        <v>1248</v>
      </c>
      <c r="C11" s="12" t="s">
        <v>1240</v>
      </c>
      <c r="D11" s="12" t="s">
        <v>1241</v>
      </c>
      <c r="E11" s="12" t="s">
        <v>1242</v>
      </c>
      <c r="F11" s="12" t="s">
        <v>1243</v>
      </c>
    </row>
    <row r="12" spans="1:6" ht="72" customHeight="1" x14ac:dyDescent="0.3">
      <c r="A12" s="9" t="s">
        <v>1244</v>
      </c>
      <c r="B12" s="12" t="s">
        <v>1248</v>
      </c>
      <c r="C12" s="12" t="s">
        <v>1245</v>
      </c>
      <c r="D12" s="12" t="s">
        <v>1246</v>
      </c>
      <c r="E12" s="12" t="s">
        <v>1247</v>
      </c>
      <c r="F12" s="12" t="s">
        <v>1202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Prompt Library</vt:lpstr>
      <vt:lpstr>Prompt Scores</vt:lpstr>
      <vt:lpstr>Prompt Quality Scorecard</vt:lpstr>
      <vt:lpstr>Delivery 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Chale Dodge</cp:lastModifiedBy>
  <cp:revision>0</cp:revision>
  <dcterms:created xsi:type="dcterms:W3CDTF">2026-07-23T03:10:33Z</dcterms:created>
  <dcterms:modified xsi:type="dcterms:W3CDTF">2026-09-09T02:43:02Z</dcterms:modified>
  <dc:language>en-US</dc:language>
</cp:coreProperties>
</file>